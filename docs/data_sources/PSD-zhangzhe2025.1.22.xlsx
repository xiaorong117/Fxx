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documents important\学习\合作\张喆\"/>
    </mc:Choice>
  </mc:AlternateContent>
  <xr:revisionPtr revIDLastSave="0" documentId="13_ncr:1_{799EB007-2F07-4BC8-B1CB-80CE2B507419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Zhangzh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0" i="2" l="1"/>
  <c r="J136" i="2"/>
  <c r="I149" i="2"/>
  <c r="I150" i="2"/>
  <c r="I151" i="2"/>
  <c r="I146" i="2"/>
  <c r="I147" i="2"/>
  <c r="I148" i="2"/>
  <c r="I144" i="2"/>
  <c r="I145" i="2"/>
  <c r="I143" i="2"/>
  <c r="I142" i="2"/>
  <c r="E45" i="2"/>
  <c r="E30" i="2"/>
  <c r="J30" i="2"/>
  <c r="M19" i="2"/>
  <c r="L19" i="2"/>
  <c r="I8" i="2"/>
  <c r="I9" i="2"/>
  <c r="I10" i="2"/>
  <c r="I6" i="2"/>
  <c r="I136" i="2"/>
  <c r="H147" i="2"/>
  <c r="H148" i="2"/>
  <c r="H149" i="2"/>
  <c r="H150" i="2"/>
  <c r="H151" i="2"/>
  <c r="E147" i="2"/>
  <c r="E148" i="2"/>
  <c r="E149" i="2"/>
  <c r="E150" i="2"/>
  <c r="E151" i="2"/>
  <c r="J118" i="2"/>
  <c r="I118" i="2"/>
  <c r="I129" i="2"/>
  <c r="I130" i="2"/>
  <c r="I131" i="2"/>
  <c r="I126" i="2"/>
  <c r="I127" i="2"/>
  <c r="I128" i="2"/>
  <c r="I125" i="2"/>
  <c r="I124" i="2"/>
  <c r="H129" i="2"/>
  <c r="H130" i="2"/>
  <c r="H131" i="2"/>
  <c r="E129" i="2"/>
  <c r="E130" i="2"/>
  <c r="E131" i="2"/>
  <c r="J102" i="2"/>
  <c r="I102" i="2"/>
  <c r="I108" i="2"/>
  <c r="I109" i="2"/>
  <c r="I110" i="2"/>
  <c r="I111" i="2"/>
  <c r="I112" i="2"/>
  <c r="I107" i="2"/>
  <c r="I106" i="2"/>
  <c r="J82" i="2"/>
  <c r="I82" i="2"/>
  <c r="I92" i="2"/>
  <c r="I93" i="2"/>
  <c r="I94" i="2"/>
  <c r="I95" i="2"/>
  <c r="I96" i="2"/>
  <c r="I97" i="2"/>
  <c r="I89" i="2"/>
  <c r="I88" i="2"/>
  <c r="H87" i="2"/>
  <c r="H88" i="2"/>
  <c r="H89" i="2"/>
  <c r="H90" i="2"/>
  <c r="I90" i="2" s="1"/>
  <c r="H91" i="2"/>
  <c r="H92" i="2"/>
  <c r="H93" i="2"/>
  <c r="H94" i="2"/>
  <c r="H95" i="2"/>
  <c r="H96" i="2"/>
  <c r="H97" i="2"/>
  <c r="E86" i="2"/>
  <c r="E87" i="2"/>
  <c r="E88" i="2"/>
  <c r="E89" i="2"/>
  <c r="E90" i="2"/>
  <c r="E91" i="2"/>
  <c r="E92" i="2"/>
  <c r="E93" i="2"/>
  <c r="E94" i="2"/>
  <c r="E95" i="2"/>
  <c r="E96" i="2"/>
  <c r="E97" i="2"/>
  <c r="I60" i="2"/>
  <c r="I68" i="2"/>
  <c r="I69" i="2"/>
  <c r="I70" i="2"/>
  <c r="I71" i="2"/>
  <c r="I72" i="2"/>
  <c r="I73" i="2"/>
  <c r="I74" i="2"/>
  <c r="I75" i="2"/>
  <c r="I67" i="2"/>
  <c r="I66" i="2"/>
  <c r="H65" i="2"/>
  <c r="H66" i="2"/>
  <c r="H67" i="2"/>
  <c r="H68" i="2"/>
  <c r="H69" i="2"/>
  <c r="H70" i="2"/>
  <c r="H71" i="2"/>
  <c r="H72" i="2"/>
  <c r="H73" i="2"/>
  <c r="H74" i="2"/>
  <c r="H75" i="2"/>
  <c r="E71" i="2"/>
  <c r="E72" i="2"/>
  <c r="E73" i="2"/>
  <c r="E74" i="2"/>
  <c r="E75" i="2"/>
  <c r="J45" i="2"/>
  <c r="I45" i="2"/>
  <c r="I51" i="2"/>
  <c r="I52" i="2"/>
  <c r="I53" i="2"/>
  <c r="I54" i="2"/>
  <c r="I50" i="2"/>
  <c r="I49" i="2"/>
  <c r="I36" i="2"/>
  <c r="I37" i="2"/>
  <c r="I38" i="2"/>
  <c r="I35" i="2"/>
  <c r="J15" i="2"/>
  <c r="I30" i="2"/>
  <c r="H5" i="2"/>
  <c r="H146" i="2"/>
  <c r="E146" i="2"/>
  <c r="H145" i="2"/>
  <c r="E145" i="2"/>
  <c r="H144" i="2"/>
  <c r="E144" i="2"/>
  <c r="H143" i="2"/>
  <c r="E143" i="2"/>
  <c r="H142" i="2"/>
  <c r="E142" i="2"/>
  <c r="H141" i="2"/>
  <c r="E141" i="2"/>
  <c r="H140" i="2"/>
  <c r="E140" i="2"/>
  <c r="H139" i="2"/>
  <c r="E139" i="2"/>
  <c r="H128" i="2"/>
  <c r="E128" i="2"/>
  <c r="H127" i="2"/>
  <c r="E127" i="2"/>
  <c r="H126" i="2"/>
  <c r="E126" i="2"/>
  <c r="H125" i="2"/>
  <c r="E125" i="2"/>
  <c r="H124" i="2"/>
  <c r="E124" i="2"/>
  <c r="H123" i="2"/>
  <c r="E123" i="2"/>
  <c r="H122" i="2"/>
  <c r="E122" i="2"/>
  <c r="H121" i="2"/>
  <c r="E121" i="2"/>
  <c r="H112" i="2"/>
  <c r="E112" i="2"/>
  <c r="H111" i="2"/>
  <c r="E111" i="2"/>
  <c r="H110" i="2"/>
  <c r="E110" i="2"/>
  <c r="H109" i="2"/>
  <c r="E109" i="2"/>
  <c r="H108" i="2"/>
  <c r="E108" i="2"/>
  <c r="H107" i="2"/>
  <c r="E107" i="2"/>
  <c r="H106" i="2"/>
  <c r="E106" i="2"/>
  <c r="H105" i="2"/>
  <c r="E105" i="2"/>
  <c r="H86" i="2"/>
  <c r="H85" i="2"/>
  <c r="E85" i="2"/>
  <c r="E70" i="2"/>
  <c r="E69" i="2"/>
  <c r="E68" i="2"/>
  <c r="E67" i="2"/>
  <c r="E66" i="2"/>
  <c r="E65" i="2"/>
  <c r="H64" i="2"/>
  <c r="E64" i="2"/>
  <c r="H63" i="2"/>
  <c r="E63" i="2"/>
  <c r="H54" i="2"/>
  <c r="E54" i="2"/>
  <c r="H53" i="2"/>
  <c r="E53" i="2"/>
  <c r="H52" i="2"/>
  <c r="E52" i="2"/>
  <c r="H51" i="2"/>
  <c r="E51" i="2"/>
  <c r="H50" i="2"/>
  <c r="E50" i="2"/>
  <c r="H49" i="2"/>
  <c r="E49" i="2"/>
  <c r="H48" i="2"/>
  <c r="E48" i="2"/>
  <c r="H38" i="2"/>
  <c r="E38" i="2"/>
  <c r="H37" i="2"/>
  <c r="E37" i="2"/>
  <c r="H36" i="2"/>
  <c r="E36" i="2"/>
  <c r="H35" i="2"/>
  <c r="E35" i="2"/>
  <c r="H34" i="2"/>
  <c r="I34" i="2" s="1"/>
  <c r="E34" i="2"/>
  <c r="H33" i="2"/>
  <c r="E33" i="2"/>
  <c r="H23" i="2"/>
  <c r="E23" i="2"/>
  <c r="H22" i="2"/>
  <c r="I23" i="2" s="1"/>
  <c r="E22" i="2"/>
  <c r="H21" i="2"/>
  <c r="E21" i="2"/>
  <c r="H20" i="2"/>
  <c r="I20" i="2" s="1"/>
  <c r="E20" i="2"/>
  <c r="H19" i="2"/>
  <c r="I19" i="2" s="1"/>
  <c r="E19" i="2"/>
  <c r="H18" i="2"/>
  <c r="E18" i="2"/>
  <c r="H10" i="2"/>
  <c r="E10" i="2"/>
  <c r="H9" i="2"/>
  <c r="E9" i="2"/>
  <c r="H8" i="2"/>
  <c r="E8" i="2"/>
  <c r="H7" i="2"/>
  <c r="E7" i="2"/>
  <c r="E6" i="2"/>
  <c r="E5" i="2"/>
  <c r="H4" i="2"/>
  <c r="E4" i="2"/>
  <c r="J1" i="2" l="1"/>
  <c r="I91" i="2"/>
  <c r="I22" i="2"/>
  <c r="I21" i="2"/>
  <c r="I15" i="2"/>
  <c r="I7" i="2"/>
  <c r="I1" i="2"/>
</calcChain>
</file>

<file path=xl/sharedStrings.xml><?xml version="1.0" encoding="utf-8"?>
<sst xmlns="http://schemas.openxmlformats.org/spreadsheetml/2006/main" count="77" uniqueCount="27">
  <si>
    <t>d/mm</t>
    <phoneticPr fontId="1" type="noConversion"/>
  </si>
  <si>
    <t>d/m</t>
    <phoneticPr fontId="1" type="noConversion"/>
  </si>
  <si>
    <t>percentage finer/%</t>
    <phoneticPr fontId="1" type="noConversion"/>
  </si>
  <si>
    <t>percentage finer</t>
    <phoneticPr fontId="1" type="noConversion"/>
  </si>
  <si>
    <t>Test data-100A</t>
    <phoneticPr fontId="1" type="noConversion"/>
  </si>
  <si>
    <t>Test data-100B</t>
    <phoneticPr fontId="1" type="noConversion"/>
  </si>
  <si>
    <t>Test data-100C</t>
    <phoneticPr fontId="1" type="noConversion"/>
  </si>
  <si>
    <t>Test data-100D</t>
    <phoneticPr fontId="1" type="noConversion"/>
  </si>
  <si>
    <t>Test data-85A15D</t>
    <phoneticPr fontId="1" type="noConversion"/>
  </si>
  <si>
    <t>Test data-60A40D</t>
    <phoneticPr fontId="1" type="noConversion"/>
  </si>
  <si>
    <t>Test data-50AB</t>
    <phoneticPr fontId="1" type="noConversion"/>
  </si>
  <si>
    <t>Test data-33ABC</t>
    <phoneticPr fontId="1" type="noConversion"/>
  </si>
  <si>
    <t>Test data-25ABCD</t>
    <phoneticPr fontId="1" type="noConversion"/>
  </si>
  <si>
    <t>modified data</t>
    <phoneticPr fontId="1" type="noConversion"/>
  </si>
  <si>
    <t>DEM simulation-100A</t>
    <phoneticPr fontId="1" type="noConversion"/>
  </si>
  <si>
    <t>DEM simulation-100B</t>
    <phoneticPr fontId="1" type="noConversion"/>
  </si>
  <si>
    <t>DEM simulation-100C</t>
    <phoneticPr fontId="1" type="noConversion"/>
  </si>
  <si>
    <t>DEM simulation-100D</t>
    <phoneticPr fontId="1" type="noConversion"/>
  </si>
  <si>
    <t>DEM simulation-85A15D</t>
    <phoneticPr fontId="1" type="noConversion"/>
  </si>
  <si>
    <t>DEM simulation-60A40D</t>
    <phoneticPr fontId="1" type="noConversion"/>
  </si>
  <si>
    <t>DEM simulation-50AB</t>
    <phoneticPr fontId="1" type="noConversion"/>
  </si>
  <si>
    <t>DEM simulation-25ABCD</t>
    <phoneticPr fontId="1" type="noConversion"/>
  </si>
  <si>
    <t>DEM simulation-33ABC</t>
    <phoneticPr fontId="1" type="noConversion"/>
  </si>
  <si>
    <t>emax</t>
    <phoneticPr fontId="1" type="noConversion"/>
  </si>
  <si>
    <t>emin</t>
    <phoneticPr fontId="1" type="noConversion"/>
  </si>
  <si>
    <t>nmax</t>
    <phoneticPr fontId="1" type="noConversion"/>
  </si>
  <si>
    <t>nmin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</si>
</sst>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0"/>
    <numFmt numFmtId="177" formatCode="0.0000_ "/>
    <numFmt numFmtId="178" formatCode="0.0000000_ "/>
    <numFmt numFmtId="179" formatCode="0.000_ "/>
    <numFmt numFmtId="180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76" fontId="0" fillId="0" borderId="0" xfId="0" applyNumberFormat="1"/>
    <xf numFmtId="177" fontId="0" fillId="0" borderId="0" xfId="0" applyNumberFormat="1"/>
    <xf numFmtId="0" fontId="2" fillId="0" borderId="0" xfId="0" applyFont="1"/>
    <xf numFmtId="0" fontId="3" fillId="2" borderId="0" xfId="0" applyFont="1" applyFill="1"/>
    <xf numFmtId="178" fontId="0" fillId="0" borderId="0" xfId="0" applyNumberFormat="1"/>
    <xf numFmtId="0" fontId="3" fillId="0" borderId="0" xfId="0" applyFont="1"/>
    <xf numFmtId="179" fontId="0" fillId="0" borderId="0" xfId="0" applyNumberFormat="1"/>
    <xf numFmtId="180" fontId="0" fillId="0" borderId="0" xfId="0" applyNumberFormat="1"/>
    <xf numFmtId="0" fontId="0" fillId="3" borderId="0" xfId="0" applyFill="1"/>
    <xf numFmtId="177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8E40"/>
      <color rgb="FF3211F7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062992125984"/>
          <c:y val="5.0925925925925923E-2"/>
          <c:w val="0.84331714785651779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Zhangzhe!$B$2</c:f>
              <c:strCache>
                <c:ptCount val="1"/>
                <c:pt idx="0">
                  <c:v>Test data-100A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Zhangzhe!$A$4:$A$10</c:f>
              <c:numCache>
                <c:formatCode>General</c:formatCode>
                <c:ptCount val="7"/>
                <c:pt idx="0">
                  <c:v>7.3999999999999996E-2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</c:numCache>
            </c:numRef>
          </c:xVal>
          <c:yVal>
            <c:numRef>
              <c:f>Zhangzhe!$C$4:$C$10</c:f>
              <c:numCache>
                <c:formatCode>General</c:formatCode>
                <c:ptCount val="7"/>
                <c:pt idx="0">
                  <c:v>0</c:v>
                </c:pt>
                <c:pt idx="1">
                  <c:v>6.0472000000000001</c:v>
                </c:pt>
                <c:pt idx="2">
                  <c:v>27.1386</c:v>
                </c:pt>
                <c:pt idx="3">
                  <c:v>68.141599999999997</c:v>
                </c:pt>
                <c:pt idx="4">
                  <c:v>96.017700000000005</c:v>
                </c:pt>
                <c:pt idx="5">
                  <c:v>98.967600000000004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D0-4AFE-8E0E-192C0874FDD8}"/>
            </c:ext>
          </c:extLst>
        </c:ser>
        <c:ser>
          <c:idx val="1"/>
          <c:order val="1"/>
          <c:tx>
            <c:strRef>
              <c:f>Zhangzhe!$F$2</c:f>
              <c:strCache>
                <c:ptCount val="1"/>
                <c:pt idx="0">
                  <c:v>DEM simulation-100A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Zhangzhe!$F$6:$F$10</c:f>
              <c:numCache>
                <c:formatCode>General</c:formatCode>
                <c:ptCount val="5"/>
                <c:pt idx="0">
                  <c:v>0.15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0.6</c:v>
                </c:pt>
              </c:numCache>
            </c:numRef>
          </c:xVal>
          <c:yVal>
            <c:numRef>
              <c:f>Zhangzhe!$G$6:$G$10</c:f>
              <c:numCache>
                <c:formatCode>General</c:formatCode>
                <c:ptCount val="5"/>
                <c:pt idx="0">
                  <c:v>33</c:v>
                </c:pt>
                <c:pt idx="1">
                  <c:v>68</c:v>
                </c:pt>
                <c:pt idx="2">
                  <c:v>96</c:v>
                </c:pt>
                <c:pt idx="3">
                  <c:v>99</c:v>
                </c:pt>
                <c:pt idx="4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9D0-4AFE-8E0E-192C0874F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184689413823274"/>
          <c:y val="0.5280894575678039"/>
          <c:w val="0.34580577427821524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062992125984"/>
          <c:y val="5.0925925925925923E-2"/>
          <c:w val="0.84331714785651779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Zhangzhe!$B$16</c:f>
              <c:strCache>
                <c:ptCount val="1"/>
                <c:pt idx="0">
                  <c:v>Test data-100B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Zhangzhe!$A$18:$A$23</c:f>
              <c:numCache>
                <c:formatCode>General</c:formatCode>
                <c:ptCount val="6"/>
                <c:pt idx="0">
                  <c:v>0.15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0.6</c:v>
                </c:pt>
                <c:pt idx="5">
                  <c:v>0.85</c:v>
                </c:pt>
              </c:numCache>
            </c:numRef>
          </c:xVal>
          <c:yVal>
            <c:numRef>
              <c:f>Zhangzhe!$C$18:$C$23</c:f>
              <c:numCache>
                <c:formatCode>General</c:formatCode>
                <c:ptCount val="6"/>
                <c:pt idx="0">
                  <c:v>0</c:v>
                </c:pt>
                <c:pt idx="1">
                  <c:v>2.0649000000000002</c:v>
                </c:pt>
                <c:pt idx="2">
                  <c:v>8.9970499999999998</c:v>
                </c:pt>
                <c:pt idx="3">
                  <c:v>29.940999999999999</c:v>
                </c:pt>
                <c:pt idx="4">
                  <c:v>70.944000000000003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1B-4C44-956F-3B704AAA2297}"/>
            </c:ext>
          </c:extLst>
        </c:ser>
        <c:ser>
          <c:idx val="1"/>
          <c:order val="1"/>
          <c:tx>
            <c:strRef>
              <c:f>Zhangzhe!$F$16</c:f>
              <c:strCache>
                <c:ptCount val="1"/>
                <c:pt idx="0">
                  <c:v>DEM simulation-100B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Zhangzhe!$F$18:$F$23</c:f>
              <c:numCache>
                <c:formatCode>General</c:formatCode>
                <c:ptCount val="6"/>
                <c:pt idx="0">
                  <c:v>0.15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0.6</c:v>
                </c:pt>
                <c:pt idx="5">
                  <c:v>0.85</c:v>
                </c:pt>
              </c:numCache>
            </c:numRef>
          </c:xVal>
          <c:yVal>
            <c:numRef>
              <c:f>Zhangzhe!$G$18:$G$23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9</c:v>
                </c:pt>
                <c:pt idx="3">
                  <c:v>30</c:v>
                </c:pt>
                <c:pt idx="4">
                  <c:v>71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1B-4C44-956F-3B704AAA2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06911636045493"/>
          <c:y val="8.3645013123359563E-2"/>
          <c:w val="0.39025021872265969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062992125984"/>
          <c:y val="5.0925925925925923E-2"/>
          <c:w val="0.84331714785651779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Zhangzhe!$B$31</c:f>
              <c:strCache>
                <c:ptCount val="1"/>
                <c:pt idx="0">
                  <c:v>Test data-100C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Zhangzhe!$A$33:$A$38</c:f>
              <c:numCache>
                <c:formatCode>General</c:formatCode>
                <c:ptCount val="6"/>
                <c:pt idx="0">
                  <c:v>0.4</c:v>
                </c:pt>
                <c:pt idx="1">
                  <c:v>0.6</c:v>
                </c:pt>
                <c:pt idx="2">
                  <c:v>0.85</c:v>
                </c:pt>
                <c:pt idx="3">
                  <c:v>1.2</c:v>
                </c:pt>
                <c:pt idx="4">
                  <c:v>1.7</c:v>
                </c:pt>
                <c:pt idx="5">
                  <c:v>2.4</c:v>
                </c:pt>
              </c:numCache>
            </c:numRef>
          </c:xVal>
          <c:yVal>
            <c:numRef>
              <c:f>Zhangzhe!$C$33:$C$38</c:f>
              <c:numCache>
                <c:formatCode>General</c:formatCode>
                <c:ptCount val="6"/>
                <c:pt idx="0">
                  <c:v>0</c:v>
                </c:pt>
                <c:pt idx="1">
                  <c:v>1.0324500000000001</c:v>
                </c:pt>
                <c:pt idx="2">
                  <c:v>3.9823</c:v>
                </c:pt>
                <c:pt idx="3">
                  <c:v>34.955800000000004</c:v>
                </c:pt>
                <c:pt idx="4">
                  <c:v>94.985299999999995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8F-4935-88A4-00E20B9FC8F0}"/>
            </c:ext>
          </c:extLst>
        </c:ser>
        <c:ser>
          <c:idx val="1"/>
          <c:order val="1"/>
          <c:tx>
            <c:strRef>
              <c:f>Zhangzhe!$F$31</c:f>
              <c:strCache>
                <c:ptCount val="1"/>
                <c:pt idx="0">
                  <c:v>DEM simulation-100C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Zhangzhe!$F$33:$F$38</c:f>
              <c:numCache>
                <c:formatCode>General</c:formatCode>
                <c:ptCount val="6"/>
                <c:pt idx="0">
                  <c:v>0.4</c:v>
                </c:pt>
                <c:pt idx="1">
                  <c:v>0.6</c:v>
                </c:pt>
                <c:pt idx="2">
                  <c:v>0.85</c:v>
                </c:pt>
                <c:pt idx="3">
                  <c:v>1.2</c:v>
                </c:pt>
                <c:pt idx="4">
                  <c:v>1.7</c:v>
                </c:pt>
                <c:pt idx="5">
                  <c:v>2.4</c:v>
                </c:pt>
              </c:numCache>
            </c:numRef>
          </c:xVal>
          <c:yVal>
            <c:numRef>
              <c:f>Zhangzhe!$G$33:$G$38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35</c:v>
                </c:pt>
                <c:pt idx="4">
                  <c:v>95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8F-4935-88A4-00E20B9FC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06911636045493"/>
          <c:y val="8.3645013123359563E-2"/>
          <c:w val="0.36525021872265973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062992125984"/>
          <c:y val="5.0925925925925923E-2"/>
          <c:w val="0.84331714785651779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Zhangzhe!$B$46</c:f>
              <c:strCache>
                <c:ptCount val="1"/>
                <c:pt idx="0">
                  <c:v>Test data-100D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Zhangzhe!$A$48:$A$54</c:f>
              <c:numCache>
                <c:formatCode>General</c:formatCode>
                <c:ptCount val="7"/>
                <c:pt idx="0">
                  <c:v>0.6</c:v>
                </c:pt>
                <c:pt idx="1">
                  <c:v>0.85</c:v>
                </c:pt>
                <c:pt idx="2">
                  <c:v>1.2</c:v>
                </c:pt>
                <c:pt idx="3">
                  <c:v>1.7</c:v>
                </c:pt>
                <c:pt idx="4">
                  <c:v>2.4</c:v>
                </c:pt>
                <c:pt idx="5">
                  <c:v>3.4</c:v>
                </c:pt>
                <c:pt idx="6">
                  <c:v>4.7</c:v>
                </c:pt>
              </c:numCache>
            </c:numRef>
          </c:xVal>
          <c:yVal>
            <c:numRef>
              <c:f>Zhangzhe!$C$48:$C$54</c:f>
              <c:numCache>
                <c:formatCode>General</c:formatCode>
                <c:ptCount val="7"/>
                <c:pt idx="0">
                  <c:v>0</c:v>
                </c:pt>
                <c:pt idx="1">
                  <c:v>0.88495599999999996</c:v>
                </c:pt>
                <c:pt idx="2">
                  <c:v>1.9174</c:v>
                </c:pt>
                <c:pt idx="3">
                  <c:v>5.0147500000000003</c:v>
                </c:pt>
                <c:pt idx="4">
                  <c:v>38.053100000000001</c:v>
                </c:pt>
                <c:pt idx="5">
                  <c:v>97.935100000000006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CC-4B71-BCF8-C5C3130CE687}"/>
            </c:ext>
          </c:extLst>
        </c:ser>
        <c:ser>
          <c:idx val="1"/>
          <c:order val="1"/>
          <c:tx>
            <c:strRef>
              <c:f>Zhangzhe!$F$46</c:f>
              <c:strCache>
                <c:ptCount val="1"/>
                <c:pt idx="0">
                  <c:v>DEM simulation-100D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Zhangzhe!$F$48:$F$54</c:f>
              <c:numCache>
                <c:formatCode>General</c:formatCode>
                <c:ptCount val="7"/>
                <c:pt idx="0">
                  <c:v>0.6</c:v>
                </c:pt>
                <c:pt idx="1">
                  <c:v>0.85</c:v>
                </c:pt>
                <c:pt idx="2">
                  <c:v>1.2</c:v>
                </c:pt>
                <c:pt idx="3">
                  <c:v>1.7</c:v>
                </c:pt>
                <c:pt idx="4">
                  <c:v>2.4</c:v>
                </c:pt>
                <c:pt idx="5">
                  <c:v>3.4</c:v>
                </c:pt>
                <c:pt idx="6">
                  <c:v>4.7</c:v>
                </c:pt>
              </c:numCache>
            </c:numRef>
          </c:xVal>
          <c:yVal>
            <c:numRef>
              <c:f>Zhangzhe!$G$48:$G$54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38</c:v>
                </c:pt>
                <c:pt idx="5">
                  <c:v>98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CC-4B71-BCF8-C5C3130CE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06911636045493"/>
          <c:y val="8.3645013123359563E-2"/>
          <c:w val="0.38747244094488187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062992125984"/>
          <c:y val="5.0925925925925923E-2"/>
          <c:w val="0.84331714785651779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Zhangzhe!$B$61</c:f>
              <c:strCache>
                <c:ptCount val="1"/>
                <c:pt idx="0">
                  <c:v>Test data-85A15D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Zhangzhe!$A$63:$A$75</c:f>
              <c:numCache>
                <c:formatCode>General</c:formatCode>
                <c:ptCount val="13"/>
                <c:pt idx="0">
                  <c:v>7.3999999999999996E-2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0.85</c:v>
                </c:pt>
                <c:pt idx="8">
                  <c:v>1.2</c:v>
                </c:pt>
                <c:pt idx="9">
                  <c:v>1.7</c:v>
                </c:pt>
                <c:pt idx="10">
                  <c:v>2.4</c:v>
                </c:pt>
                <c:pt idx="11">
                  <c:v>3.4</c:v>
                </c:pt>
                <c:pt idx="12">
                  <c:v>4.7</c:v>
                </c:pt>
              </c:numCache>
            </c:numRef>
          </c:xVal>
          <c:yVal>
            <c:numRef>
              <c:f>Zhangzhe!$C$63:$C$75</c:f>
              <c:numCache>
                <c:formatCode>General</c:formatCode>
                <c:ptCount val="13"/>
                <c:pt idx="0">
                  <c:v>0</c:v>
                </c:pt>
                <c:pt idx="1">
                  <c:v>5.1622399999999997</c:v>
                </c:pt>
                <c:pt idx="2">
                  <c:v>23.008800000000001</c:v>
                </c:pt>
                <c:pt idx="3">
                  <c:v>57.817100000000003</c:v>
                </c:pt>
                <c:pt idx="4">
                  <c:v>81.563400000000001</c:v>
                </c:pt>
                <c:pt idx="5">
                  <c:v>84.218299999999999</c:v>
                </c:pt>
                <c:pt idx="6">
                  <c:v>84.955799999999996</c:v>
                </c:pt>
                <c:pt idx="7">
                  <c:v>85.103200000000001</c:v>
                </c:pt>
                <c:pt idx="8">
                  <c:v>85.250699999999995</c:v>
                </c:pt>
                <c:pt idx="9">
                  <c:v>85.693200000000004</c:v>
                </c:pt>
                <c:pt idx="10">
                  <c:v>90.707999999999998</c:v>
                </c:pt>
                <c:pt idx="11">
                  <c:v>99.557500000000005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08-414F-AD21-4517970EA9BF}"/>
            </c:ext>
          </c:extLst>
        </c:ser>
        <c:ser>
          <c:idx val="1"/>
          <c:order val="1"/>
          <c:tx>
            <c:strRef>
              <c:f>Zhangzhe!$F$61</c:f>
              <c:strCache>
                <c:ptCount val="1"/>
                <c:pt idx="0">
                  <c:v>DEM simulation-85A15D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Zhangzhe!$F$66:$F$75</c:f>
              <c:numCache>
                <c:formatCode>General</c:formatCode>
                <c:ptCount val="10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0.6</c:v>
                </c:pt>
                <c:pt idx="4">
                  <c:v>0.85</c:v>
                </c:pt>
                <c:pt idx="5">
                  <c:v>1.2</c:v>
                </c:pt>
                <c:pt idx="6">
                  <c:v>1.7</c:v>
                </c:pt>
                <c:pt idx="7">
                  <c:v>2.4</c:v>
                </c:pt>
                <c:pt idx="8">
                  <c:v>3.4</c:v>
                </c:pt>
                <c:pt idx="9">
                  <c:v>4.7</c:v>
                </c:pt>
              </c:numCache>
            </c:numRef>
          </c:xVal>
          <c:yVal>
            <c:numRef>
              <c:f>Zhangzhe!$G$66:$G$75</c:f>
              <c:numCache>
                <c:formatCode>General</c:formatCode>
                <c:ptCount val="10"/>
                <c:pt idx="0">
                  <c:v>58</c:v>
                </c:pt>
                <c:pt idx="1">
                  <c:v>81.5</c:v>
                </c:pt>
                <c:pt idx="2">
                  <c:v>84.2</c:v>
                </c:pt>
                <c:pt idx="3">
                  <c:v>85</c:v>
                </c:pt>
                <c:pt idx="4">
                  <c:v>85.1</c:v>
                </c:pt>
                <c:pt idx="5">
                  <c:v>85.25</c:v>
                </c:pt>
                <c:pt idx="6">
                  <c:v>85.7</c:v>
                </c:pt>
                <c:pt idx="7">
                  <c:v>91</c:v>
                </c:pt>
                <c:pt idx="8">
                  <c:v>99.5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C08-414F-AD21-4517970EA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06911636045493"/>
          <c:y val="8.3645013123359563E-2"/>
          <c:w val="0.38747244094488187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062992125984"/>
          <c:y val="5.0925925925925923E-2"/>
          <c:w val="0.84331714785651779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Zhangzhe!$B$83</c:f>
              <c:strCache>
                <c:ptCount val="1"/>
                <c:pt idx="0">
                  <c:v>Test data-60A40D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Zhangzhe!$A$85:$A$97</c:f>
              <c:numCache>
                <c:formatCode>General</c:formatCode>
                <c:ptCount val="13"/>
                <c:pt idx="0">
                  <c:v>7.3999999999999996E-2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0.85</c:v>
                </c:pt>
                <c:pt idx="8">
                  <c:v>1.2</c:v>
                </c:pt>
                <c:pt idx="9">
                  <c:v>1.7</c:v>
                </c:pt>
                <c:pt idx="10">
                  <c:v>2.4</c:v>
                </c:pt>
                <c:pt idx="11">
                  <c:v>3.4</c:v>
                </c:pt>
                <c:pt idx="12">
                  <c:v>4.7</c:v>
                </c:pt>
              </c:numCache>
            </c:numRef>
          </c:xVal>
          <c:yVal>
            <c:numRef>
              <c:f>Zhangzhe!$C$85:$C$97</c:f>
              <c:numCache>
                <c:formatCode>General</c:formatCode>
                <c:ptCount val="13"/>
                <c:pt idx="0">
                  <c:v>0</c:v>
                </c:pt>
                <c:pt idx="1">
                  <c:v>3.9823</c:v>
                </c:pt>
                <c:pt idx="2">
                  <c:v>16.076699999999999</c:v>
                </c:pt>
                <c:pt idx="3">
                  <c:v>40.855499999999999</c:v>
                </c:pt>
                <c:pt idx="4">
                  <c:v>57.522100000000002</c:v>
                </c:pt>
                <c:pt idx="5">
                  <c:v>59.439500000000002</c:v>
                </c:pt>
                <c:pt idx="6">
                  <c:v>60.029499999999999</c:v>
                </c:pt>
                <c:pt idx="7">
                  <c:v>60.472000000000001</c:v>
                </c:pt>
                <c:pt idx="8">
                  <c:v>60.914499999999997</c:v>
                </c:pt>
                <c:pt idx="9">
                  <c:v>61.946899999999999</c:v>
                </c:pt>
                <c:pt idx="10">
                  <c:v>75.221199999999996</c:v>
                </c:pt>
                <c:pt idx="11">
                  <c:v>99.114999999999995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88-4154-8C45-85AC949DA822}"/>
            </c:ext>
          </c:extLst>
        </c:ser>
        <c:ser>
          <c:idx val="1"/>
          <c:order val="1"/>
          <c:tx>
            <c:strRef>
              <c:f>Zhangzhe!$F$83</c:f>
              <c:strCache>
                <c:ptCount val="1"/>
                <c:pt idx="0">
                  <c:v>DEM simulation-60A40D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Zhangzhe!$F$88:$F$97</c:f>
              <c:numCache>
                <c:formatCode>General</c:formatCode>
                <c:ptCount val="10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0.6</c:v>
                </c:pt>
                <c:pt idx="4">
                  <c:v>0.85</c:v>
                </c:pt>
                <c:pt idx="5">
                  <c:v>1.2</c:v>
                </c:pt>
                <c:pt idx="6">
                  <c:v>1.7</c:v>
                </c:pt>
                <c:pt idx="7">
                  <c:v>2.4</c:v>
                </c:pt>
                <c:pt idx="8">
                  <c:v>3.4</c:v>
                </c:pt>
                <c:pt idx="9">
                  <c:v>4.7</c:v>
                </c:pt>
              </c:numCache>
            </c:numRef>
          </c:xVal>
          <c:yVal>
            <c:numRef>
              <c:f>Zhangzhe!$G$88:$G$97</c:f>
              <c:numCache>
                <c:formatCode>General</c:formatCode>
                <c:ptCount val="10"/>
                <c:pt idx="0">
                  <c:v>41</c:v>
                </c:pt>
                <c:pt idx="1">
                  <c:v>58</c:v>
                </c:pt>
                <c:pt idx="2">
                  <c:v>59.5</c:v>
                </c:pt>
                <c:pt idx="3">
                  <c:v>60</c:v>
                </c:pt>
                <c:pt idx="4">
                  <c:v>60.5</c:v>
                </c:pt>
                <c:pt idx="5">
                  <c:v>61</c:v>
                </c:pt>
                <c:pt idx="6">
                  <c:v>62</c:v>
                </c:pt>
                <c:pt idx="7">
                  <c:v>75</c:v>
                </c:pt>
                <c:pt idx="8">
                  <c:v>99</c:v>
                </c:pt>
                <c:pt idx="9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88-4154-8C45-85AC949DA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06911636045493"/>
          <c:y val="8.3645013123359563E-2"/>
          <c:w val="0.38747244094488187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062992125984"/>
          <c:y val="5.0925925925925923E-2"/>
          <c:w val="0.84331714785651779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Zhangzhe!$B$103</c:f>
              <c:strCache>
                <c:ptCount val="1"/>
                <c:pt idx="0">
                  <c:v>Test data-50AB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Zhangzhe!$A$105:$A$112</c:f>
              <c:numCache>
                <c:formatCode>General</c:formatCode>
                <c:ptCount val="8"/>
                <c:pt idx="0">
                  <c:v>7.3999999999999996E-2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0.85</c:v>
                </c:pt>
              </c:numCache>
            </c:numRef>
          </c:xVal>
          <c:yVal>
            <c:numRef>
              <c:f>Zhangzhe!$C$105:$C$112</c:f>
              <c:numCache>
                <c:formatCode>General</c:formatCode>
                <c:ptCount val="8"/>
                <c:pt idx="0">
                  <c:v>0</c:v>
                </c:pt>
                <c:pt idx="1">
                  <c:v>2.9498500000000001</c:v>
                </c:pt>
                <c:pt idx="2">
                  <c:v>13.421799999999999</c:v>
                </c:pt>
                <c:pt idx="3">
                  <c:v>34.955800000000004</c:v>
                </c:pt>
                <c:pt idx="4">
                  <c:v>52.507399999999997</c:v>
                </c:pt>
                <c:pt idx="5">
                  <c:v>64.454300000000003</c:v>
                </c:pt>
                <c:pt idx="6">
                  <c:v>85.545699999999997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97-42FB-BEEE-210C15D2A1C0}"/>
            </c:ext>
          </c:extLst>
        </c:ser>
        <c:ser>
          <c:idx val="1"/>
          <c:order val="1"/>
          <c:tx>
            <c:strRef>
              <c:f>Zhangzhe!$F$103</c:f>
              <c:strCache>
                <c:ptCount val="1"/>
                <c:pt idx="0">
                  <c:v>DEM simulation-50AB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Zhangzhe!$F$105:$F$112</c:f>
              <c:numCache>
                <c:formatCode>General</c:formatCode>
                <c:ptCount val="8"/>
                <c:pt idx="0">
                  <c:v>7.3999999999999996E-2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0.85</c:v>
                </c:pt>
              </c:numCache>
            </c:numRef>
          </c:xVal>
          <c:yVal>
            <c:numRef>
              <c:f>Zhangzhe!$G$105:$G$112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13.5</c:v>
                </c:pt>
                <c:pt idx="3">
                  <c:v>35</c:v>
                </c:pt>
                <c:pt idx="4">
                  <c:v>52.5</c:v>
                </c:pt>
                <c:pt idx="5">
                  <c:v>64.5</c:v>
                </c:pt>
                <c:pt idx="6">
                  <c:v>85.5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97-42FB-BEEE-210C15D2A1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06911636045493"/>
          <c:y val="8.3645013123359563E-2"/>
          <c:w val="0.38747244094488187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062992125984"/>
          <c:y val="5.0925925925925923E-2"/>
          <c:w val="0.84331714785651779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Zhangzhe!$B$119</c:f>
              <c:strCache>
                <c:ptCount val="1"/>
                <c:pt idx="0">
                  <c:v>Test data-33ABC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Zhangzhe!$A$121:$A$131</c:f>
              <c:numCache>
                <c:formatCode>General</c:formatCode>
                <c:ptCount val="11"/>
                <c:pt idx="0">
                  <c:v>7.3999999999999996E-2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0.85</c:v>
                </c:pt>
                <c:pt idx="8">
                  <c:v>1.2</c:v>
                </c:pt>
                <c:pt idx="9">
                  <c:v>1.7</c:v>
                </c:pt>
                <c:pt idx="10">
                  <c:v>2.4</c:v>
                </c:pt>
              </c:numCache>
            </c:numRef>
          </c:xVal>
          <c:yVal>
            <c:numRef>
              <c:f>Zhangzhe!$C$121:$C$131</c:f>
              <c:numCache>
                <c:formatCode>General</c:formatCode>
                <c:ptCount val="11"/>
                <c:pt idx="0">
                  <c:v>0</c:v>
                </c:pt>
                <c:pt idx="1">
                  <c:v>2.2123900000000001</c:v>
                </c:pt>
                <c:pt idx="2">
                  <c:v>8.9970499999999998</c:v>
                </c:pt>
                <c:pt idx="3">
                  <c:v>23.303799999999999</c:v>
                </c:pt>
                <c:pt idx="4">
                  <c:v>34.955800000000004</c:v>
                </c:pt>
                <c:pt idx="5">
                  <c:v>42.920400000000001</c:v>
                </c:pt>
                <c:pt idx="6">
                  <c:v>57.2271</c:v>
                </c:pt>
                <c:pt idx="7">
                  <c:v>67.846599999999995</c:v>
                </c:pt>
                <c:pt idx="8">
                  <c:v>78.318600000000004</c:v>
                </c:pt>
                <c:pt idx="9">
                  <c:v>98.377600000000001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EB-4F09-8F90-D3CB5A6DD2D0}"/>
            </c:ext>
          </c:extLst>
        </c:ser>
        <c:ser>
          <c:idx val="1"/>
          <c:order val="1"/>
          <c:tx>
            <c:strRef>
              <c:f>Zhangzhe!$F$119</c:f>
              <c:strCache>
                <c:ptCount val="1"/>
                <c:pt idx="0">
                  <c:v>DEM simulation-33ABC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Zhangzhe!$F$124:$F$131</c:f>
              <c:numCache>
                <c:formatCode>General</c:formatCode>
                <c:ptCount val="8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0.6</c:v>
                </c:pt>
                <c:pt idx="4">
                  <c:v>0.85</c:v>
                </c:pt>
                <c:pt idx="5">
                  <c:v>1.2</c:v>
                </c:pt>
                <c:pt idx="6">
                  <c:v>1.7</c:v>
                </c:pt>
                <c:pt idx="7">
                  <c:v>2.4</c:v>
                </c:pt>
              </c:numCache>
            </c:numRef>
          </c:xVal>
          <c:yVal>
            <c:numRef>
              <c:f>Zhangzhe!$G$124:$G$131</c:f>
              <c:numCache>
                <c:formatCode>General</c:formatCode>
                <c:ptCount val="8"/>
                <c:pt idx="0">
                  <c:v>23</c:v>
                </c:pt>
                <c:pt idx="1">
                  <c:v>35</c:v>
                </c:pt>
                <c:pt idx="2">
                  <c:v>43</c:v>
                </c:pt>
                <c:pt idx="3">
                  <c:v>57</c:v>
                </c:pt>
                <c:pt idx="4">
                  <c:v>68</c:v>
                </c:pt>
                <c:pt idx="5">
                  <c:v>78</c:v>
                </c:pt>
                <c:pt idx="6">
                  <c:v>98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EB-4F09-8F90-D3CB5A6DD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06911636045493"/>
          <c:y val="8.3645013123359563E-2"/>
          <c:w val="0.38747244094488187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71062992125984"/>
          <c:y val="5.0925925925925923E-2"/>
          <c:w val="0.84331714785651779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Zhangzhe!$B$137</c:f>
              <c:strCache>
                <c:ptCount val="1"/>
                <c:pt idx="0">
                  <c:v>Test data-25ABCD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Zhangzhe!$A$139:$A$151</c:f>
              <c:numCache>
                <c:formatCode>General</c:formatCode>
                <c:ptCount val="13"/>
                <c:pt idx="0">
                  <c:v>7.3999999999999996E-2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0.4</c:v>
                </c:pt>
                <c:pt idx="6">
                  <c:v>0.6</c:v>
                </c:pt>
                <c:pt idx="7">
                  <c:v>0.85</c:v>
                </c:pt>
                <c:pt idx="8">
                  <c:v>1.2</c:v>
                </c:pt>
                <c:pt idx="9">
                  <c:v>1.7</c:v>
                </c:pt>
                <c:pt idx="10">
                  <c:v>2.4</c:v>
                </c:pt>
                <c:pt idx="11">
                  <c:v>3.4</c:v>
                </c:pt>
                <c:pt idx="12">
                  <c:v>4.7</c:v>
                </c:pt>
              </c:numCache>
            </c:numRef>
          </c:xVal>
          <c:yVal>
            <c:numRef>
              <c:f>Zhangzhe!$C$139:$C$151</c:f>
              <c:numCache>
                <c:formatCode>General</c:formatCode>
                <c:ptCount val="13"/>
                <c:pt idx="0">
                  <c:v>0</c:v>
                </c:pt>
                <c:pt idx="1">
                  <c:v>1.62242</c:v>
                </c:pt>
                <c:pt idx="2">
                  <c:v>6.93215</c:v>
                </c:pt>
                <c:pt idx="3">
                  <c:v>17.551600000000001</c:v>
                </c:pt>
                <c:pt idx="4">
                  <c:v>26.401199999999999</c:v>
                </c:pt>
                <c:pt idx="5">
                  <c:v>32.300899999999999</c:v>
                </c:pt>
                <c:pt idx="6">
                  <c:v>43.067799999999998</c:v>
                </c:pt>
                <c:pt idx="7">
                  <c:v>51.327399999999997</c:v>
                </c:pt>
                <c:pt idx="8">
                  <c:v>59.292000000000002</c:v>
                </c:pt>
                <c:pt idx="9">
                  <c:v>75.073700000000002</c:v>
                </c:pt>
                <c:pt idx="10">
                  <c:v>84.513300000000001</c:v>
                </c:pt>
                <c:pt idx="11">
                  <c:v>99.557500000000005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75-42C6-9BB8-5A0EE1AE75DB}"/>
            </c:ext>
          </c:extLst>
        </c:ser>
        <c:ser>
          <c:idx val="1"/>
          <c:order val="1"/>
          <c:tx>
            <c:strRef>
              <c:f>Zhangzhe!$F$137</c:f>
              <c:strCache>
                <c:ptCount val="1"/>
                <c:pt idx="0">
                  <c:v>DEM simulation-25ABCD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Zhangzhe!$F$144:$F$151</c:f>
              <c:numCache>
                <c:formatCode>General</c:formatCode>
                <c:ptCount val="8"/>
                <c:pt idx="0">
                  <c:v>0.4</c:v>
                </c:pt>
                <c:pt idx="1">
                  <c:v>0.6</c:v>
                </c:pt>
                <c:pt idx="2">
                  <c:v>0.85</c:v>
                </c:pt>
                <c:pt idx="3">
                  <c:v>1.2</c:v>
                </c:pt>
                <c:pt idx="4">
                  <c:v>1.7</c:v>
                </c:pt>
                <c:pt idx="5">
                  <c:v>2.4</c:v>
                </c:pt>
                <c:pt idx="6">
                  <c:v>3.4</c:v>
                </c:pt>
                <c:pt idx="7">
                  <c:v>4.7</c:v>
                </c:pt>
              </c:numCache>
            </c:numRef>
          </c:xVal>
          <c:yVal>
            <c:numRef>
              <c:f>Zhangzhe!$G$144:$G$151</c:f>
              <c:numCache>
                <c:formatCode>General</c:formatCode>
                <c:ptCount val="8"/>
                <c:pt idx="0">
                  <c:v>32</c:v>
                </c:pt>
                <c:pt idx="1">
                  <c:v>43</c:v>
                </c:pt>
                <c:pt idx="2">
                  <c:v>51</c:v>
                </c:pt>
                <c:pt idx="3">
                  <c:v>59</c:v>
                </c:pt>
                <c:pt idx="4">
                  <c:v>75</c:v>
                </c:pt>
                <c:pt idx="5">
                  <c:v>85</c:v>
                </c:pt>
                <c:pt idx="6">
                  <c:v>99.5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75-42C6-9BB8-5A0EE1AE7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inMax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06911636045493"/>
          <c:y val="8.3645013123359563E-2"/>
          <c:w val="0.38747244094488187"/>
          <c:h val="0.22035214348206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884295713035872E-2"/>
          <c:y val="6.0185185185185182E-2"/>
          <c:w val="0.84609492563429567"/>
          <c:h val="0.7971682706328375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Zhangzhe!$B$2</c:f>
              <c:strCache>
                <c:ptCount val="1"/>
                <c:pt idx="0">
                  <c:v>Test data-100A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Zhangzhe!$B$4:$B$10</c:f>
              <c:numCache>
                <c:formatCode>General</c:formatCode>
                <c:ptCount val="7"/>
                <c:pt idx="0">
                  <c:v>7.37511E-2</c:v>
                </c:pt>
                <c:pt idx="1">
                  <c:v>0.10473</c:v>
                </c:pt>
                <c:pt idx="2">
                  <c:v>0.14872099999999999</c:v>
                </c:pt>
                <c:pt idx="3">
                  <c:v>0.209476</c:v>
                </c:pt>
                <c:pt idx="4">
                  <c:v>0.29746499999999998</c:v>
                </c:pt>
                <c:pt idx="5">
                  <c:v>0.41898299999999999</c:v>
                </c:pt>
                <c:pt idx="6">
                  <c:v>0.59014200000000006</c:v>
                </c:pt>
              </c:numCache>
            </c:numRef>
          </c:xVal>
          <c:yVal>
            <c:numRef>
              <c:f>Zhangzhe!$C$4:$C$10</c:f>
              <c:numCache>
                <c:formatCode>General</c:formatCode>
                <c:ptCount val="7"/>
                <c:pt idx="0">
                  <c:v>0</c:v>
                </c:pt>
                <c:pt idx="1">
                  <c:v>6.0472000000000001</c:v>
                </c:pt>
                <c:pt idx="2">
                  <c:v>27.1386</c:v>
                </c:pt>
                <c:pt idx="3">
                  <c:v>68.141599999999997</c:v>
                </c:pt>
                <c:pt idx="4">
                  <c:v>96.017700000000005</c:v>
                </c:pt>
                <c:pt idx="5">
                  <c:v>98.967600000000004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0B-4CEA-A2E1-723F6B6BD049}"/>
            </c:ext>
          </c:extLst>
        </c:ser>
        <c:ser>
          <c:idx val="1"/>
          <c:order val="1"/>
          <c:tx>
            <c:strRef>
              <c:f>Zhangzhe!$B$16</c:f>
              <c:strCache>
                <c:ptCount val="1"/>
                <c:pt idx="0">
                  <c:v>Test data-100B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Zhangzhe!$B$18:$B$23</c:f>
              <c:numCache>
                <c:formatCode>General</c:formatCode>
                <c:ptCount val="6"/>
                <c:pt idx="0">
                  <c:v>0.14872099999999999</c:v>
                </c:pt>
                <c:pt idx="1">
                  <c:v>0.21119099999999999</c:v>
                </c:pt>
                <c:pt idx="2">
                  <c:v>0.29746499999999998</c:v>
                </c:pt>
                <c:pt idx="3">
                  <c:v>0.42241400000000001</c:v>
                </c:pt>
                <c:pt idx="4">
                  <c:v>0.594974</c:v>
                </c:pt>
                <c:pt idx="5">
                  <c:v>0.85878500000000002</c:v>
                </c:pt>
              </c:numCache>
            </c:numRef>
          </c:xVal>
          <c:yVal>
            <c:numRef>
              <c:f>Zhangzhe!$C$18:$C$23</c:f>
              <c:numCache>
                <c:formatCode>General</c:formatCode>
                <c:ptCount val="6"/>
                <c:pt idx="0">
                  <c:v>0</c:v>
                </c:pt>
                <c:pt idx="1">
                  <c:v>2.0649000000000002</c:v>
                </c:pt>
                <c:pt idx="2">
                  <c:v>8.9970499999999998</c:v>
                </c:pt>
                <c:pt idx="3">
                  <c:v>29.940999999999999</c:v>
                </c:pt>
                <c:pt idx="4">
                  <c:v>70.944000000000003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0B-4CEA-A2E1-723F6B6BD049}"/>
            </c:ext>
          </c:extLst>
        </c:ser>
        <c:ser>
          <c:idx val="2"/>
          <c:order val="2"/>
          <c:tx>
            <c:strRef>
              <c:f>Zhangzhe!$B$31</c:f>
              <c:strCache>
                <c:ptCount val="1"/>
                <c:pt idx="0">
                  <c:v>Test data-100C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Zhangzhe!$B$33:$B$38</c:f>
              <c:numCache>
                <c:formatCode>General</c:formatCode>
                <c:ptCount val="6"/>
                <c:pt idx="0">
                  <c:v>0.41898299999999999</c:v>
                </c:pt>
                <c:pt idx="1">
                  <c:v>0.594974</c:v>
                </c:pt>
                <c:pt idx="2">
                  <c:v>0.84489099999999995</c:v>
                </c:pt>
                <c:pt idx="3">
                  <c:v>1.19004</c:v>
                </c:pt>
                <c:pt idx="4">
                  <c:v>1.67618</c:v>
                </c:pt>
                <c:pt idx="5">
                  <c:v>2.3802500000000002</c:v>
                </c:pt>
              </c:numCache>
            </c:numRef>
          </c:xVal>
          <c:yVal>
            <c:numRef>
              <c:f>Zhangzhe!$C$33:$C$38</c:f>
              <c:numCache>
                <c:formatCode>General</c:formatCode>
                <c:ptCount val="6"/>
                <c:pt idx="0">
                  <c:v>0</c:v>
                </c:pt>
                <c:pt idx="1">
                  <c:v>1.0324500000000001</c:v>
                </c:pt>
                <c:pt idx="2">
                  <c:v>3.9823</c:v>
                </c:pt>
                <c:pt idx="3">
                  <c:v>34.955800000000004</c:v>
                </c:pt>
                <c:pt idx="4">
                  <c:v>94.985299999999995</c:v>
                </c:pt>
                <c:pt idx="5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0B-4CEA-A2E1-723F6B6BD049}"/>
            </c:ext>
          </c:extLst>
        </c:ser>
        <c:ser>
          <c:idx val="3"/>
          <c:order val="3"/>
          <c:tx>
            <c:strRef>
              <c:f>Zhangzhe!$B$46</c:f>
              <c:strCache>
                <c:ptCount val="1"/>
                <c:pt idx="0">
                  <c:v>Test data-100D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Zhangzhe!$B$48:$B$54</c:f>
              <c:numCache>
                <c:formatCode>General</c:formatCode>
                <c:ptCount val="7"/>
                <c:pt idx="0">
                  <c:v>0.594974</c:v>
                </c:pt>
                <c:pt idx="1">
                  <c:v>0.838028</c:v>
                </c:pt>
                <c:pt idx="2">
                  <c:v>1.19004</c:v>
                </c:pt>
                <c:pt idx="3">
                  <c:v>1.68991</c:v>
                </c:pt>
                <c:pt idx="4">
                  <c:v>2.3802500000000002</c:v>
                </c:pt>
                <c:pt idx="5">
                  <c:v>3.3800699999999999</c:v>
                </c:pt>
                <c:pt idx="6">
                  <c:v>4.7222</c:v>
                </c:pt>
              </c:numCache>
            </c:numRef>
          </c:xVal>
          <c:yVal>
            <c:numRef>
              <c:f>Zhangzhe!$C$48:$C$54</c:f>
              <c:numCache>
                <c:formatCode>General</c:formatCode>
                <c:ptCount val="7"/>
                <c:pt idx="0">
                  <c:v>0</c:v>
                </c:pt>
                <c:pt idx="1">
                  <c:v>0.88495599999999996</c:v>
                </c:pt>
                <c:pt idx="2">
                  <c:v>1.9174</c:v>
                </c:pt>
                <c:pt idx="3">
                  <c:v>5.0147500000000003</c:v>
                </c:pt>
                <c:pt idx="4">
                  <c:v>38.053100000000001</c:v>
                </c:pt>
                <c:pt idx="5">
                  <c:v>97.935100000000006</c:v>
                </c:pt>
                <c:pt idx="6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0B-4CEA-A2E1-723F6B6BD049}"/>
            </c:ext>
          </c:extLst>
        </c:ser>
        <c:ser>
          <c:idx val="4"/>
          <c:order val="4"/>
          <c:tx>
            <c:strRef>
              <c:f>Zhangzhe!$B$61</c:f>
              <c:strCache>
                <c:ptCount val="1"/>
                <c:pt idx="0">
                  <c:v>Test data-85A15D</c:v>
                </c:pt>
              </c:strCache>
            </c:strRef>
          </c:tx>
          <c:spPr>
            <a:ln w="19050" cap="rnd">
              <a:solidFill>
                <a:srgbClr val="3211F7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3211F7"/>
              </a:solidFill>
              <a:ln w="9525">
                <a:solidFill>
                  <a:srgbClr val="3211F7"/>
                </a:solidFill>
              </a:ln>
              <a:effectLst/>
            </c:spPr>
          </c:marker>
          <c:xVal>
            <c:numRef>
              <c:f>Zhangzhe!$B$63:$B$75</c:f>
              <c:numCache>
                <c:formatCode>General</c:formatCode>
                <c:ptCount val="13"/>
                <c:pt idx="0">
                  <c:v>7.37511E-2</c:v>
                </c:pt>
                <c:pt idx="1">
                  <c:v>0.10473</c:v>
                </c:pt>
                <c:pt idx="2">
                  <c:v>0.14872099999999999</c:v>
                </c:pt>
                <c:pt idx="3">
                  <c:v>0.209476</c:v>
                </c:pt>
                <c:pt idx="4">
                  <c:v>0.29746499999999998</c:v>
                </c:pt>
                <c:pt idx="5">
                  <c:v>0.41898299999999999</c:v>
                </c:pt>
                <c:pt idx="6">
                  <c:v>0.594974</c:v>
                </c:pt>
                <c:pt idx="7">
                  <c:v>0.84489099999999995</c:v>
                </c:pt>
                <c:pt idx="8">
                  <c:v>1.19004</c:v>
                </c:pt>
                <c:pt idx="9">
                  <c:v>1.67618</c:v>
                </c:pt>
                <c:pt idx="10">
                  <c:v>2.3802500000000002</c:v>
                </c:pt>
                <c:pt idx="11">
                  <c:v>3.3800699999999999</c:v>
                </c:pt>
                <c:pt idx="12">
                  <c:v>4.7222</c:v>
                </c:pt>
              </c:numCache>
            </c:numRef>
          </c:xVal>
          <c:yVal>
            <c:numRef>
              <c:f>Zhangzhe!$C$63:$C$75</c:f>
              <c:numCache>
                <c:formatCode>General</c:formatCode>
                <c:ptCount val="13"/>
                <c:pt idx="0">
                  <c:v>0</c:v>
                </c:pt>
                <c:pt idx="1">
                  <c:v>5.1622399999999997</c:v>
                </c:pt>
                <c:pt idx="2">
                  <c:v>23.008800000000001</c:v>
                </c:pt>
                <c:pt idx="3">
                  <c:v>57.817100000000003</c:v>
                </c:pt>
                <c:pt idx="4">
                  <c:v>81.563400000000001</c:v>
                </c:pt>
                <c:pt idx="5">
                  <c:v>84.218299999999999</c:v>
                </c:pt>
                <c:pt idx="6">
                  <c:v>84.955799999999996</c:v>
                </c:pt>
                <c:pt idx="7">
                  <c:v>85.103200000000001</c:v>
                </c:pt>
                <c:pt idx="8">
                  <c:v>85.250699999999995</c:v>
                </c:pt>
                <c:pt idx="9">
                  <c:v>85.693200000000004</c:v>
                </c:pt>
                <c:pt idx="10">
                  <c:v>90.707999999999998</c:v>
                </c:pt>
                <c:pt idx="11">
                  <c:v>99.557500000000005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0B-4CEA-A2E1-723F6B6BD049}"/>
            </c:ext>
          </c:extLst>
        </c:ser>
        <c:ser>
          <c:idx val="5"/>
          <c:order val="5"/>
          <c:tx>
            <c:strRef>
              <c:f>Zhangzhe!$B$83</c:f>
              <c:strCache>
                <c:ptCount val="1"/>
                <c:pt idx="0">
                  <c:v>Test data-60A40D</c:v>
                </c:pt>
              </c:strCache>
            </c:strRef>
          </c:tx>
          <c:spPr>
            <a:ln w="19050" cap="rnd">
              <a:solidFill>
                <a:srgbClr val="008E4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8E40"/>
              </a:solidFill>
              <a:ln w="9525">
                <a:solidFill>
                  <a:srgbClr val="008E40"/>
                </a:solidFill>
              </a:ln>
              <a:effectLst/>
            </c:spPr>
          </c:marker>
          <c:xVal>
            <c:numRef>
              <c:f>Zhangzhe!$B$85:$B$97</c:f>
              <c:numCache>
                <c:formatCode>General</c:formatCode>
                <c:ptCount val="13"/>
                <c:pt idx="0">
                  <c:v>7.37511E-2</c:v>
                </c:pt>
                <c:pt idx="1">
                  <c:v>0.105588</c:v>
                </c:pt>
                <c:pt idx="2">
                  <c:v>0.14872099999999999</c:v>
                </c:pt>
                <c:pt idx="3">
                  <c:v>0.209476</c:v>
                </c:pt>
                <c:pt idx="4">
                  <c:v>0.29746499999999998</c:v>
                </c:pt>
                <c:pt idx="5">
                  <c:v>0.41898299999999999</c:v>
                </c:pt>
                <c:pt idx="6">
                  <c:v>0.594974</c:v>
                </c:pt>
                <c:pt idx="7">
                  <c:v>0.838028</c:v>
                </c:pt>
                <c:pt idx="8">
                  <c:v>1.19004</c:v>
                </c:pt>
                <c:pt idx="9">
                  <c:v>1.67618</c:v>
                </c:pt>
                <c:pt idx="10">
                  <c:v>2.3802500000000002</c:v>
                </c:pt>
                <c:pt idx="11">
                  <c:v>3.3800699999999999</c:v>
                </c:pt>
                <c:pt idx="12">
                  <c:v>4.60806</c:v>
                </c:pt>
              </c:numCache>
            </c:numRef>
          </c:xVal>
          <c:yVal>
            <c:numRef>
              <c:f>Zhangzhe!$C$85:$C$97</c:f>
              <c:numCache>
                <c:formatCode>General</c:formatCode>
                <c:ptCount val="13"/>
                <c:pt idx="0">
                  <c:v>0</c:v>
                </c:pt>
                <c:pt idx="1">
                  <c:v>3.9823</c:v>
                </c:pt>
                <c:pt idx="2">
                  <c:v>16.076699999999999</c:v>
                </c:pt>
                <c:pt idx="3">
                  <c:v>40.855499999999999</c:v>
                </c:pt>
                <c:pt idx="4">
                  <c:v>57.522100000000002</c:v>
                </c:pt>
                <c:pt idx="5">
                  <c:v>59.439500000000002</c:v>
                </c:pt>
                <c:pt idx="6">
                  <c:v>60.029499999999999</c:v>
                </c:pt>
                <c:pt idx="7">
                  <c:v>60.472000000000001</c:v>
                </c:pt>
                <c:pt idx="8">
                  <c:v>60.914499999999997</c:v>
                </c:pt>
                <c:pt idx="9">
                  <c:v>61.946899999999999</c:v>
                </c:pt>
                <c:pt idx="10">
                  <c:v>75.221199999999996</c:v>
                </c:pt>
                <c:pt idx="11">
                  <c:v>99.114999999999995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D0B-4CEA-A2E1-723F6B6BD049}"/>
            </c:ext>
          </c:extLst>
        </c:ser>
        <c:ser>
          <c:idx val="6"/>
          <c:order val="6"/>
          <c:tx>
            <c:strRef>
              <c:f>Zhangzhe!$B$103</c:f>
              <c:strCache>
                <c:ptCount val="1"/>
                <c:pt idx="0">
                  <c:v>Test data-50AB</c:v>
                </c:pt>
              </c:strCache>
            </c:strRef>
          </c:tx>
          <c:spPr>
            <a:ln w="19050" cap="rnd">
              <a:solidFill>
                <a:srgbClr val="FF33C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33CC"/>
              </a:solidFill>
              <a:ln w="9525">
                <a:solidFill>
                  <a:srgbClr val="FF33CC"/>
                </a:solidFill>
              </a:ln>
              <a:effectLst/>
            </c:spPr>
          </c:marker>
          <c:xVal>
            <c:numRef>
              <c:f>Zhangzhe!$B$105:$B$112</c:f>
              <c:numCache>
                <c:formatCode>General</c:formatCode>
                <c:ptCount val="8"/>
                <c:pt idx="0">
                  <c:v>7.37511E-2</c:v>
                </c:pt>
                <c:pt idx="1">
                  <c:v>0.103879</c:v>
                </c:pt>
                <c:pt idx="2">
                  <c:v>0.14751300000000001</c:v>
                </c:pt>
                <c:pt idx="3">
                  <c:v>0.209476</c:v>
                </c:pt>
                <c:pt idx="4">
                  <c:v>0.29504900000000001</c:v>
                </c:pt>
                <c:pt idx="5">
                  <c:v>0.41557899999999998</c:v>
                </c:pt>
                <c:pt idx="6">
                  <c:v>0.59014200000000006</c:v>
                </c:pt>
                <c:pt idx="7">
                  <c:v>0.84489099999999995</c:v>
                </c:pt>
              </c:numCache>
            </c:numRef>
          </c:xVal>
          <c:yVal>
            <c:numRef>
              <c:f>Zhangzhe!$C$105:$C$112</c:f>
              <c:numCache>
                <c:formatCode>General</c:formatCode>
                <c:ptCount val="8"/>
                <c:pt idx="0">
                  <c:v>0</c:v>
                </c:pt>
                <c:pt idx="1">
                  <c:v>2.9498500000000001</c:v>
                </c:pt>
                <c:pt idx="2">
                  <c:v>13.421799999999999</c:v>
                </c:pt>
                <c:pt idx="3">
                  <c:v>34.955800000000004</c:v>
                </c:pt>
                <c:pt idx="4">
                  <c:v>52.507399999999997</c:v>
                </c:pt>
                <c:pt idx="5">
                  <c:v>64.454300000000003</c:v>
                </c:pt>
                <c:pt idx="6">
                  <c:v>85.545699999999997</c:v>
                </c:pt>
                <c:pt idx="7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D0B-4CEA-A2E1-723F6B6BD049}"/>
            </c:ext>
          </c:extLst>
        </c:ser>
        <c:ser>
          <c:idx val="7"/>
          <c:order val="7"/>
          <c:tx>
            <c:strRef>
              <c:f>Zhangzhe!$B$119</c:f>
              <c:strCache>
                <c:ptCount val="1"/>
                <c:pt idx="0">
                  <c:v>Test data-33ABC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Zhangzhe!$B$121:$B$131</c:f>
              <c:numCache>
                <c:formatCode>General</c:formatCode>
                <c:ptCount val="11"/>
                <c:pt idx="0">
                  <c:v>7.37511E-2</c:v>
                </c:pt>
                <c:pt idx="1">
                  <c:v>0.10473</c:v>
                </c:pt>
                <c:pt idx="2">
                  <c:v>0.14993899999999999</c:v>
                </c:pt>
                <c:pt idx="3">
                  <c:v>0.21119099999999999</c:v>
                </c:pt>
                <c:pt idx="4">
                  <c:v>0.29990099999999997</c:v>
                </c:pt>
                <c:pt idx="5">
                  <c:v>0.41898299999999999</c:v>
                </c:pt>
                <c:pt idx="6">
                  <c:v>0.594974</c:v>
                </c:pt>
                <c:pt idx="7">
                  <c:v>0.84489099999999995</c:v>
                </c:pt>
                <c:pt idx="8">
                  <c:v>1.19004</c:v>
                </c:pt>
                <c:pt idx="9">
                  <c:v>1.68991</c:v>
                </c:pt>
                <c:pt idx="10">
                  <c:v>2.39975</c:v>
                </c:pt>
              </c:numCache>
            </c:numRef>
          </c:xVal>
          <c:yVal>
            <c:numRef>
              <c:f>Zhangzhe!$C$121:$C$131</c:f>
              <c:numCache>
                <c:formatCode>General</c:formatCode>
                <c:ptCount val="11"/>
                <c:pt idx="0">
                  <c:v>0</c:v>
                </c:pt>
                <c:pt idx="1">
                  <c:v>2.2123900000000001</c:v>
                </c:pt>
                <c:pt idx="2">
                  <c:v>8.9970499999999998</c:v>
                </c:pt>
                <c:pt idx="3">
                  <c:v>23.303799999999999</c:v>
                </c:pt>
                <c:pt idx="4">
                  <c:v>34.955800000000004</c:v>
                </c:pt>
                <c:pt idx="5">
                  <c:v>42.920400000000001</c:v>
                </c:pt>
                <c:pt idx="6">
                  <c:v>57.2271</c:v>
                </c:pt>
                <c:pt idx="7">
                  <c:v>67.846599999999995</c:v>
                </c:pt>
                <c:pt idx="8">
                  <c:v>78.318600000000004</c:v>
                </c:pt>
                <c:pt idx="9">
                  <c:v>98.377600000000001</c:v>
                </c:pt>
                <c:pt idx="10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D0B-4CEA-A2E1-723F6B6BD049}"/>
            </c:ext>
          </c:extLst>
        </c:ser>
        <c:ser>
          <c:idx val="8"/>
          <c:order val="8"/>
          <c:tx>
            <c:strRef>
              <c:f>Zhangzhe!$B$137</c:f>
              <c:strCache>
                <c:ptCount val="1"/>
                <c:pt idx="0">
                  <c:v>Test data-25ABCD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Zhangzhe!$B$139:$B$151</c:f>
              <c:numCache>
                <c:formatCode>General</c:formatCode>
                <c:ptCount val="13"/>
                <c:pt idx="0">
                  <c:v>7.4355099999999993E-2</c:v>
                </c:pt>
                <c:pt idx="1">
                  <c:v>0.10473</c:v>
                </c:pt>
                <c:pt idx="2">
                  <c:v>0.14872099999999999</c:v>
                </c:pt>
                <c:pt idx="3">
                  <c:v>0.21119099999999999</c:v>
                </c:pt>
                <c:pt idx="4">
                  <c:v>0.29746499999999998</c:v>
                </c:pt>
                <c:pt idx="5">
                  <c:v>0.42241400000000001</c:v>
                </c:pt>
                <c:pt idx="6">
                  <c:v>0.594974</c:v>
                </c:pt>
                <c:pt idx="7">
                  <c:v>0.84489099999999995</c:v>
                </c:pt>
                <c:pt idx="8">
                  <c:v>1.19004</c:v>
                </c:pt>
                <c:pt idx="9">
                  <c:v>1.68991</c:v>
                </c:pt>
                <c:pt idx="10">
                  <c:v>2.3802500000000002</c:v>
                </c:pt>
                <c:pt idx="11">
                  <c:v>3.3526199999999999</c:v>
                </c:pt>
                <c:pt idx="12">
                  <c:v>4.7222</c:v>
                </c:pt>
              </c:numCache>
            </c:numRef>
          </c:xVal>
          <c:yVal>
            <c:numRef>
              <c:f>Zhangzhe!$C$139:$C$151</c:f>
              <c:numCache>
                <c:formatCode>General</c:formatCode>
                <c:ptCount val="13"/>
                <c:pt idx="0">
                  <c:v>0</c:v>
                </c:pt>
                <c:pt idx="1">
                  <c:v>1.62242</c:v>
                </c:pt>
                <c:pt idx="2">
                  <c:v>6.93215</c:v>
                </c:pt>
                <c:pt idx="3">
                  <c:v>17.551600000000001</c:v>
                </c:pt>
                <c:pt idx="4">
                  <c:v>26.401199999999999</c:v>
                </c:pt>
                <c:pt idx="5">
                  <c:v>32.300899999999999</c:v>
                </c:pt>
                <c:pt idx="6">
                  <c:v>43.067799999999998</c:v>
                </c:pt>
                <c:pt idx="7">
                  <c:v>51.327399999999997</c:v>
                </c:pt>
                <c:pt idx="8">
                  <c:v>59.292000000000002</c:v>
                </c:pt>
                <c:pt idx="9">
                  <c:v>75.073700000000002</c:v>
                </c:pt>
                <c:pt idx="10">
                  <c:v>84.513300000000001</c:v>
                </c:pt>
                <c:pt idx="11">
                  <c:v>99.557500000000005</c:v>
                </c:pt>
                <c:pt idx="1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D0B-4CEA-A2E1-723F6B6BD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031952"/>
        <c:axId val="1649836368"/>
      </c:scatterChart>
      <c:valAx>
        <c:axId val="724031952"/>
        <c:scaling>
          <c:logBase val="10"/>
          <c:orientation val="maxMin"/>
          <c:max val="10"/>
          <c:min val="1.000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 i="1">
                    <a:solidFill>
                      <a:schemeClr val="tx1"/>
                    </a:solidFill>
                  </a:rPr>
                  <a:t>d</a:t>
                </a:r>
                <a:r>
                  <a:rPr lang="en-US" altLang="zh-CN" sz="1200">
                    <a:solidFill>
                      <a:schemeClr val="tx1"/>
                    </a:solidFill>
                  </a:rPr>
                  <a:t> (mm)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649836368"/>
        <c:crosses val="autoZero"/>
        <c:crossBetween val="midCat"/>
      </c:valAx>
      <c:valAx>
        <c:axId val="1649836368"/>
        <c:scaling>
          <c:orientation val="minMax"/>
          <c:max val="1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200">
                    <a:solidFill>
                      <a:schemeClr val="tx1"/>
                    </a:solidFill>
                  </a:rPr>
                  <a:t>Percentage finer (%)</a:t>
                </a:r>
                <a:endParaRPr lang="zh-CN" altLang="en-US" sz="12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 alt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724031952"/>
        <c:crossesAt val="1.0000000000000002E-2"/>
        <c:crossBetween val="midCat"/>
        <c:majorUnit val="20"/>
        <c:min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462467191601045"/>
          <c:y val="9.2904272382618835E-2"/>
          <c:w val="0.26316732283464567"/>
          <c:h val="0.661056430446194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</xdr:colOff>
      <xdr:row>0</xdr:row>
      <xdr:rowOff>0</xdr:rowOff>
    </xdr:from>
    <xdr:to>
      <xdr:col>21</xdr:col>
      <xdr:colOff>312420</xdr:colOff>
      <xdr:row>15</xdr:row>
      <xdr:rowOff>114300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88142C3-4961-4239-BC41-B789EF2D98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495300</xdr:colOff>
      <xdr:row>14</xdr:row>
      <xdr:rowOff>76200</xdr:rowOff>
    </xdr:from>
    <xdr:to>
      <xdr:col>21</xdr:col>
      <xdr:colOff>190500</xdr:colOff>
      <xdr:row>30</xdr:row>
      <xdr:rowOff>15240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5F9E626-4CAF-4C6B-AF84-6459536EC7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571500</xdr:colOff>
      <xdr:row>30</xdr:row>
      <xdr:rowOff>0</xdr:rowOff>
    </xdr:from>
    <xdr:to>
      <xdr:col>20</xdr:col>
      <xdr:colOff>266700</xdr:colOff>
      <xdr:row>45</xdr:row>
      <xdr:rowOff>114300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2CFF9D98-78DF-4F43-9EB8-07CF04A56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441960</xdr:colOff>
      <xdr:row>45</xdr:row>
      <xdr:rowOff>0</xdr:rowOff>
    </xdr:from>
    <xdr:to>
      <xdr:col>20</xdr:col>
      <xdr:colOff>137160</xdr:colOff>
      <xdr:row>60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D8F09DE-B0A0-43E0-9C46-EC34F6BC75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449580</xdr:colOff>
      <xdr:row>59</xdr:row>
      <xdr:rowOff>83820</xdr:rowOff>
    </xdr:from>
    <xdr:to>
      <xdr:col>20</xdr:col>
      <xdr:colOff>144780</xdr:colOff>
      <xdr:row>75</xdr:row>
      <xdr:rowOff>22860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497648D-502B-4D39-89BB-1DBCDDC42D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81</xdr:row>
      <xdr:rowOff>0</xdr:rowOff>
    </xdr:from>
    <xdr:to>
      <xdr:col>20</xdr:col>
      <xdr:colOff>304800</xdr:colOff>
      <xdr:row>96</xdr:row>
      <xdr:rowOff>114300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AFEDBA6-3605-4EE8-8CBF-084149268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251460</xdr:colOff>
      <xdr:row>100</xdr:row>
      <xdr:rowOff>38100</xdr:rowOff>
    </xdr:from>
    <xdr:to>
      <xdr:col>19</xdr:col>
      <xdr:colOff>556260</xdr:colOff>
      <xdr:row>115</xdr:row>
      <xdr:rowOff>152400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605EEE7F-4B0E-4588-8B93-801123256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117</xdr:row>
      <xdr:rowOff>0</xdr:rowOff>
    </xdr:from>
    <xdr:to>
      <xdr:col>19</xdr:col>
      <xdr:colOff>304800</xdr:colOff>
      <xdr:row>132</xdr:row>
      <xdr:rowOff>114300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02309EBA-2363-481E-AB8A-E040B7D2EE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68580</xdr:colOff>
      <xdr:row>134</xdr:row>
      <xdr:rowOff>106680</xdr:rowOff>
    </xdr:from>
    <xdr:to>
      <xdr:col>19</xdr:col>
      <xdr:colOff>373380</xdr:colOff>
      <xdr:row>150</xdr:row>
      <xdr:rowOff>45720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17BA9885-935A-48AB-A9BF-5BEDC0F85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220980</xdr:colOff>
      <xdr:row>91</xdr:row>
      <xdr:rowOff>60960</xdr:rowOff>
    </xdr:from>
    <xdr:to>
      <xdr:col>22</xdr:col>
      <xdr:colOff>525780</xdr:colOff>
      <xdr:row>107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B5BDEFA-A93A-49DA-992D-F76C88287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E8A6-07DF-4FB7-BC37-66DDB09DD3F0}">
  <dimension ref="A1:M151"/>
  <sheetViews>
    <sheetView tabSelected="1" workbookViewId="0">
      <selection activeCell="Z90" sqref="Z90"/>
    </sheetView>
  </sheetViews>
  <sheetFormatPr defaultRowHeight="14.1" x14ac:dyDescent="0.5"/>
  <cols>
    <col min="9" max="9" width="10.59765625" bestFit="1" customWidth="1"/>
  </cols>
  <sheetData>
    <row r="1" spans="1:13" x14ac:dyDescent="0.5">
      <c r="I1">
        <f>SUM(I5:I10)</f>
        <v>1</v>
      </c>
      <c r="J1">
        <f>SUM(J5:J10)</f>
        <v>1</v>
      </c>
    </row>
    <row r="2" spans="1:13" x14ac:dyDescent="0.5">
      <c r="B2" t="s">
        <v>4</v>
      </c>
      <c r="F2" t="s">
        <v>14</v>
      </c>
    </row>
    <row r="3" spans="1:13" x14ac:dyDescent="0.5">
      <c r="A3" t="s">
        <v>13</v>
      </c>
      <c r="B3" t="s">
        <v>0</v>
      </c>
      <c r="C3" t="s">
        <v>2</v>
      </c>
      <c r="E3" t="s">
        <v>1</v>
      </c>
      <c r="F3" t="s">
        <v>0</v>
      </c>
      <c r="G3" t="s">
        <v>2</v>
      </c>
      <c r="H3" t="s">
        <v>3</v>
      </c>
    </row>
    <row r="4" spans="1:13" x14ac:dyDescent="0.5">
      <c r="A4">
        <v>7.3999999999999996E-2</v>
      </c>
      <c r="B4">
        <v>7.37511E-2</v>
      </c>
      <c r="C4">
        <v>0</v>
      </c>
      <c r="E4">
        <f>F4/1000</f>
        <v>7.3999999999999996E-5</v>
      </c>
      <c r="F4">
        <v>7.3999999999999996E-2</v>
      </c>
      <c r="G4">
        <v>0</v>
      </c>
      <c r="H4" s="2">
        <f>G4/100</f>
        <v>0</v>
      </c>
    </row>
    <row r="5" spans="1:13" x14ac:dyDescent="0.5">
      <c r="A5">
        <v>0.1</v>
      </c>
      <c r="B5">
        <v>0.10473</v>
      </c>
      <c r="C5">
        <v>6.0472000000000001</v>
      </c>
      <c r="E5">
        <f t="shared" ref="E5:E10" si="0">F5/1000</f>
        <v>1E-4</v>
      </c>
      <c r="F5">
        <v>0.1</v>
      </c>
      <c r="G5">
        <v>6</v>
      </c>
      <c r="H5" s="2">
        <f>G5/100</f>
        <v>0.06</v>
      </c>
      <c r="I5" s="2"/>
    </row>
    <row r="6" spans="1:13" x14ac:dyDescent="0.5">
      <c r="A6">
        <v>0.15</v>
      </c>
      <c r="B6">
        <v>0.14872099999999999</v>
      </c>
      <c r="C6">
        <v>27.1386</v>
      </c>
      <c r="E6" s="1">
        <f t="shared" si="0"/>
        <v>1.4999999999999999E-4</v>
      </c>
      <c r="F6" s="1">
        <v>0.15</v>
      </c>
      <c r="G6" s="1">
        <v>33</v>
      </c>
      <c r="H6" s="2">
        <v>0.33</v>
      </c>
      <c r="I6" s="3">
        <f>H6</f>
        <v>0.33</v>
      </c>
      <c r="J6" s="11">
        <v>0.33</v>
      </c>
    </row>
    <row r="7" spans="1:13" x14ac:dyDescent="0.5">
      <c r="A7">
        <v>0.2</v>
      </c>
      <c r="B7">
        <v>0.209476</v>
      </c>
      <c r="C7">
        <v>68.141599999999997</v>
      </c>
      <c r="E7" s="1">
        <f t="shared" si="0"/>
        <v>2.0000000000000001E-4</v>
      </c>
      <c r="F7" s="1">
        <v>0.2</v>
      </c>
      <c r="G7" s="1">
        <v>68</v>
      </c>
      <c r="H7" s="2">
        <f t="shared" ref="H7:H10" si="1">G7/100</f>
        <v>0.68</v>
      </c>
      <c r="I7" s="3">
        <f t="shared" ref="I7:I10" si="2">H7-H6</f>
        <v>0.35000000000000003</v>
      </c>
      <c r="J7" s="5">
        <v>0.35000000000000003</v>
      </c>
    </row>
    <row r="8" spans="1:13" x14ac:dyDescent="0.5">
      <c r="A8">
        <v>0.3</v>
      </c>
      <c r="B8">
        <v>0.29746499999999998</v>
      </c>
      <c r="C8">
        <v>96.017700000000005</v>
      </c>
      <c r="E8" s="1">
        <f t="shared" si="0"/>
        <v>2.9999999999999997E-4</v>
      </c>
      <c r="F8" s="1">
        <v>0.3</v>
      </c>
      <c r="G8" s="1">
        <v>96</v>
      </c>
      <c r="H8" s="2">
        <f t="shared" si="1"/>
        <v>0.96</v>
      </c>
      <c r="I8" s="3">
        <f t="shared" si="2"/>
        <v>0.27999999999999992</v>
      </c>
      <c r="J8" s="5">
        <v>0.27999999999999992</v>
      </c>
    </row>
    <row r="9" spans="1:13" x14ac:dyDescent="0.5">
      <c r="A9">
        <v>0.4</v>
      </c>
      <c r="B9">
        <v>0.41898299999999999</v>
      </c>
      <c r="C9">
        <v>98.967600000000004</v>
      </c>
      <c r="E9" s="1">
        <f t="shared" si="0"/>
        <v>4.0000000000000002E-4</v>
      </c>
      <c r="F9" s="1">
        <v>0.4</v>
      </c>
      <c r="G9" s="1">
        <v>99</v>
      </c>
      <c r="H9" s="2">
        <f t="shared" si="1"/>
        <v>0.99</v>
      </c>
      <c r="I9" s="3">
        <f t="shared" si="2"/>
        <v>3.0000000000000027E-2</v>
      </c>
      <c r="J9" s="5">
        <v>3.0000000000000027E-2</v>
      </c>
    </row>
    <row r="10" spans="1:13" x14ac:dyDescent="0.5">
      <c r="A10">
        <v>0.6</v>
      </c>
      <c r="B10">
        <v>0.59014200000000006</v>
      </c>
      <c r="C10">
        <v>100</v>
      </c>
      <c r="E10" s="1">
        <f t="shared" si="0"/>
        <v>5.9999999999999995E-4</v>
      </c>
      <c r="F10" s="1">
        <v>0.6</v>
      </c>
      <c r="G10" s="1">
        <v>100</v>
      </c>
      <c r="H10" s="2">
        <f t="shared" si="1"/>
        <v>1</v>
      </c>
      <c r="I10" s="3">
        <f t="shared" si="2"/>
        <v>1.0000000000000009E-2</v>
      </c>
      <c r="J10" s="5">
        <v>1.0000000000000009E-2</v>
      </c>
    </row>
    <row r="11" spans="1:13" x14ac:dyDescent="0.5">
      <c r="H11" s="2"/>
      <c r="I11" s="3"/>
      <c r="J11" s="4"/>
    </row>
    <row r="15" spans="1:13" x14ac:dyDescent="0.5">
      <c r="I15" s="3">
        <f>SUM(I19:I23)</f>
        <v>1</v>
      </c>
      <c r="J15">
        <f>SUM(J19:J23)</f>
        <v>1</v>
      </c>
    </row>
    <row r="16" spans="1:13" x14ac:dyDescent="0.5">
      <c r="B16" t="s">
        <v>5</v>
      </c>
      <c r="F16" t="s">
        <v>15</v>
      </c>
      <c r="L16" t="s">
        <v>23</v>
      </c>
      <c r="M16" t="s">
        <v>24</v>
      </c>
    </row>
    <row r="17" spans="1:13" x14ac:dyDescent="0.5">
      <c r="B17" t="s">
        <v>0</v>
      </c>
      <c r="C17" t="s">
        <v>2</v>
      </c>
      <c r="E17" t="s">
        <v>1</v>
      </c>
      <c r="F17" t="s">
        <v>0</v>
      </c>
      <c r="G17" t="s">
        <v>2</v>
      </c>
      <c r="H17" t="s">
        <v>3</v>
      </c>
      <c r="L17">
        <v>0.83499999999999996</v>
      </c>
      <c r="M17">
        <v>0.52400000000000002</v>
      </c>
    </row>
    <row r="18" spans="1:13" x14ac:dyDescent="0.5">
      <c r="A18">
        <v>0.15</v>
      </c>
      <c r="B18">
        <v>0.14872099999999999</v>
      </c>
      <c r="C18">
        <v>0</v>
      </c>
      <c r="E18">
        <f>F18/1000</f>
        <v>1.4999999999999999E-4</v>
      </c>
      <c r="F18">
        <v>0.15</v>
      </c>
      <c r="G18">
        <v>0</v>
      </c>
      <c r="H18" s="2">
        <f>G18/100</f>
        <v>0</v>
      </c>
      <c r="L18" t="s">
        <v>25</v>
      </c>
      <c r="M18" t="s">
        <v>26</v>
      </c>
    </row>
    <row r="19" spans="1:13" x14ac:dyDescent="0.5">
      <c r="A19">
        <v>0.2</v>
      </c>
      <c r="B19">
        <v>0.21119099999999999</v>
      </c>
      <c r="C19">
        <v>2.0649000000000002</v>
      </c>
      <c r="E19" s="1">
        <f t="shared" ref="E19:E23" si="3">F19/1000</f>
        <v>2.0000000000000001E-4</v>
      </c>
      <c r="F19" s="1">
        <v>0.2</v>
      </c>
      <c r="G19" s="1">
        <v>2</v>
      </c>
      <c r="H19" s="2">
        <f t="shared" ref="H19:H23" si="4">G19/100</f>
        <v>0.02</v>
      </c>
      <c r="I19" s="2">
        <f>H19</f>
        <v>0.02</v>
      </c>
      <c r="J19">
        <v>0.02</v>
      </c>
      <c r="L19">
        <f>L17/(1+L17)</f>
        <v>0.45504087193460491</v>
      </c>
      <c r="M19">
        <f>M17/(1+M17)</f>
        <v>0.34383202099737536</v>
      </c>
    </row>
    <row r="20" spans="1:13" x14ac:dyDescent="0.5">
      <c r="A20">
        <v>0.3</v>
      </c>
      <c r="B20">
        <v>0.29746499999999998</v>
      </c>
      <c r="C20">
        <v>8.9970499999999998</v>
      </c>
      <c r="E20" s="1">
        <f t="shared" si="3"/>
        <v>2.9999999999999997E-4</v>
      </c>
      <c r="F20" s="1">
        <v>0.3</v>
      </c>
      <c r="G20" s="1">
        <v>9</v>
      </c>
      <c r="H20" s="2">
        <f t="shared" si="4"/>
        <v>0.09</v>
      </c>
      <c r="I20" s="6">
        <f>H20-H19</f>
        <v>6.9999999999999993E-2</v>
      </c>
      <c r="J20">
        <v>6.9999999999999993E-2</v>
      </c>
    </row>
    <row r="21" spans="1:13" x14ac:dyDescent="0.5">
      <c r="A21">
        <v>0.4</v>
      </c>
      <c r="B21">
        <v>0.42241400000000001</v>
      </c>
      <c r="C21">
        <v>29.940999999999999</v>
      </c>
      <c r="E21" s="1">
        <f t="shared" si="3"/>
        <v>4.0000000000000002E-4</v>
      </c>
      <c r="F21" s="1">
        <v>0.4</v>
      </c>
      <c r="G21" s="1">
        <v>30</v>
      </c>
      <c r="H21" s="2">
        <f t="shared" si="4"/>
        <v>0.3</v>
      </c>
      <c r="I21" s="6">
        <f t="shared" ref="I21:I23" si="5">H21-H20</f>
        <v>0.21</v>
      </c>
      <c r="J21" s="7">
        <v>0.21</v>
      </c>
    </row>
    <row r="22" spans="1:13" x14ac:dyDescent="0.5">
      <c r="A22">
        <v>0.6</v>
      </c>
      <c r="B22">
        <v>0.594974</v>
      </c>
      <c r="C22">
        <v>70.944000000000003</v>
      </c>
      <c r="E22" s="1">
        <f t="shared" si="3"/>
        <v>5.9999999999999995E-4</v>
      </c>
      <c r="F22" s="1">
        <v>0.6</v>
      </c>
      <c r="G22" s="1">
        <v>71</v>
      </c>
      <c r="H22" s="2">
        <f t="shared" si="4"/>
        <v>0.71</v>
      </c>
      <c r="I22" s="6">
        <f t="shared" si="5"/>
        <v>0.41</v>
      </c>
      <c r="J22" s="7">
        <v>0.41</v>
      </c>
    </row>
    <row r="23" spans="1:13" x14ac:dyDescent="0.5">
      <c r="A23">
        <v>0.85</v>
      </c>
      <c r="B23">
        <v>0.85878500000000002</v>
      </c>
      <c r="C23">
        <v>100</v>
      </c>
      <c r="E23" s="1">
        <f t="shared" si="3"/>
        <v>8.4999999999999995E-4</v>
      </c>
      <c r="F23" s="1">
        <v>0.85</v>
      </c>
      <c r="G23" s="1">
        <v>100</v>
      </c>
      <c r="H23" s="2">
        <f t="shared" si="4"/>
        <v>1</v>
      </c>
      <c r="I23" s="6">
        <f t="shared" si="5"/>
        <v>0.29000000000000004</v>
      </c>
      <c r="J23" s="7">
        <v>0.29000000000000004</v>
      </c>
    </row>
    <row r="24" spans="1:13" x14ac:dyDescent="0.5">
      <c r="H24" s="2"/>
      <c r="I24" s="3"/>
      <c r="J24" s="4"/>
    </row>
    <row r="25" spans="1:13" x14ac:dyDescent="0.5">
      <c r="H25" s="2"/>
      <c r="I25" s="3"/>
      <c r="J25" s="4"/>
    </row>
    <row r="30" spans="1:13" x14ac:dyDescent="0.5">
      <c r="E30">
        <f>F38/F23</f>
        <v>2.8235294117647061</v>
      </c>
      <c r="I30" s="3">
        <f>SUM(I34:I38)</f>
        <v>1</v>
      </c>
      <c r="J30">
        <f>SUM(J34:J38)</f>
        <v>1</v>
      </c>
    </row>
    <row r="31" spans="1:13" x14ac:dyDescent="0.5">
      <c r="B31" t="s">
        <v>6</v>
      </c>
      <c r="F31" t="s">
        <v>16</v>
      </c>
    </row>
    <row r="32" spans="1:13" x14ac:dyDescent="0.5">
      <c r="B32" t="s">
        <v>0</v>
      </c>
      <c r="C32" t="s">
        <v>2</v>
      </c>
      <c r="E32" t="s">
        <v>1</v>
      </c>
      <c r="F32" t="s">
        <v>0</v>
      </c>
      <c r="G32" t="s">
        <v>2</v>
      </c>
      <c r="H32" t="s">
        <v>3</v>
      </c>
    </row>
    <row r="33" spans="1:10" x14ac:dyDescent="0.5">
      <c r="A33">
        <v>0.4</v>
      </c>
      <c r="B33">
        <v>0.41898299999999999</v>
      </c>
      <c r="C33">
        <v>0</v>
      </c>
      <c r="E33">
        <f>F33/1000</f>
        <v>4.0000000000000002E-4</v>
      </c>
      <c r="F33">
        <v>0.4</v>
      </c>
      <c r="G33">
        <v>0</v>
      </c>
      <c r="H33" s="2">
        <f>G33/100</f>
        <v>0</v>
      </c>
    </row>
    <row r="34" spans="1:10" x14ac:dyDescent="0.5">
      <c r="A34">
        <v>0.6</v>
      </c>
      <c r="B34">
        <v>0.594974</v>
      </c>
      <c r="C34">
        <v>1.0324500000000001</v>
      </c>
      <c r="E34" s="1">
        <f t="shared" ref="E34:E38" si="6">F34/1000</f>
        <v>5.9999999999999995E-4</v>
      </c>
      <c r="F34" s="1">
        <v>0.6</v>
      </c>
      <c r="G34" s="1">
        <v>1</v>
      </c>
      <c r="H34" s="2">
        <f t="shared" ref="H34:H38" si="7">G34/100</f>
        <v>0.01</v>
      </c>
      <c r="I34" s="2">
        <f>H34</f>
        <v>0.01</v>
      </c>
      <c r="J34">
        <v>0.01</v>
      </c>
    </row>
    <row r="35" spans="1:10" x14ac:dyDescent="0.5">
      <c r="A35">
        <v>0.85</v>
      </c>
      <c r="B35">
        <v>0.84489099999999995</v>
      </c>
      <c r="C35">
        <v>3.9823</v>
      </c>
      <c r="E35" s="1">
        <f t="shared" si="6"/>
        <v>8.4999999999999995E-4</v>
      </c>
      <c r="F35" s="1">
        <v>0.85</v>
      </c>
      <c r="G35" s="1">
        <v>4</v>
      </c>
      <c r="H35" s="2">
        <f t="shared" si="7"/>
        <v>0.04</v>
      </c>
      <c r="I35" s="6">
        <f>H35-H34</f>
        <v>0.03</v>
      </c>
      <c r="J35">
        <v>0.03</v>
      </c>
    </row>
    <row r="36" spans="1:10" x14ac:dyDescent="0.5">
      <c r="A36">
        <v>1.2</v>
      </c>
      <c r="B36">
        <v>1.19004</v>
      </c>
      <c r="C36">
        <v>34.955800000000004</v>
      </c>
      <c r="E36" s="1">
        <f t="shared" si="6"/>
        <v>1.1999999999999999E-3</v>
      </c>
      <c r="F36" s="1">
        <v>1.2</v>
      </c>
      <c r="G36" s="1">
        <v>35</v>
      </c>
      <c r="H36" s="2">
        <f t="shared" si="7"/>
        <v>0.35</v>
      </c>
      <c r="I36" s="6">
        <f t="shared" ref="I36:I38" si="8">H36-H35</f>
        <v>0.31</v>
      </c>
      <c r="J36" s="7">
        <v>0.31</v>
      </c>
    </row>
    <row r="37" spans="1:10" x14ac:dyDescent="0.5">
      <c r="A37">
        <v>1.7</v>
      </c>
      <c r="B37">
        <v>1.67618</v>
      </c>
      <c r="C37">
        <v>94.985299999999995</v>
      </c>
      <c r="E37" s="1">
        <f t="shared" si="6"/>
        <v>1.6999999999999999E-3</v>
      </c>
      <c r="F37" s="1">
        <v>1.7</v>
      </c>
      <c r="G37" s="1">
        <v>95</v>
      </c>
      <c r="H37" s="2">
        <f t="shared" si="7"/>
        <v>0.95</v>
      </c>
      <c r="I37" s="6">
        <f t="shared" si="8"/>
        <v>0.6</v>
      </c>
      <c r="J37" s="7">
        <v>0.6</v>
      </c>
    </row>
    <row r="38" spans="1:10" x14ac:dyDescent="0.5">
      <c r="A38">
        <v>2.4</v>
      </c>
      <c r="B38">
        <v>2.3802500000000002</v>
      </c>
      <c r="C38">
        <v>100</v>
      </c>
      <c r="E38" s="1">
        <f t="shared" si="6"/>
        <v>2.3999999999999998E-3</v>
      </c>
      <c r="F38" s="1">
        <v>2.4</v>
      </c>
      <c r="G38" s="1">
        <v>100</v>
      </c>
      <c r="H38" s="2">
        <f t="shared" si="7"/>
        <v>1</v>
      </c>
      <c r="I38" s="6">
        <f t="shared" si="8"/>
        <v>5.0000000000000044E-2</v>
      </c>
      <c r="J38" s="7">
        <v>5.0000000000000044E-2</v>
      </c>
    </row>
    <row r="39" spans="1:10" x14ac:dyDescent="0.5">
      <c r="H39" s="2"/>
      <c r="I39" s="3"/>
      <c r="J39" s="7"/>
    </row>
    <row r="40" spans="1:10" x14ac:dyDescent="0.5">
      <c r="H40" s="2"/>
      <c r="I40" s="3"/>
      <c r="J40" s="7"/>
    </row>
    <row r="41" spans="1:10" x14ac:dyDescent="0.5">
      <c r="J41" s="7"/>
    </row>
    <row r="45" spans="1:10" x14ac:dyDescent="0.5">
      <c r="E45">
        <f>F54/F38</f>
        <v>1.9583333333333335</v>
      </c>
      <c r="I45" s="3">
        <f>SUM(I49:I54)</f>
        <v>1</v>
      </c>
      <c r="J45">
        <f>SUM(J49:J54)</f>
        <v>1</v>
      </c>
    </row>
    <row r="46" spans="1:10" x14ac:dyDescent="0.5">
      <c r="B46" t="s">
        <v>7</v>
      </c>
      <c r="F46" t="s">
        <v>17</v>
      </c>
    </row>
    <row r="47" spans="1:10" x14ac:dyDescent="0.5">
      <c r="B47" t="s">
        <v>0</v>
      </c>
      <c r="C47" t="s">
        <v>2</v>
      </c>
      <c r="E47" t="s">
        <v>1</v>
      </c>
      <c r="F47" t="s">
        <v>0</v>
      </c>
      <c r="G47" t="s">
        <v>2</v>
      </c>
      <c r="H47" t="s">
        <v>3</v>
      </c>
    </row>
    <row r="48" spans="1:10" x14ac:dyDescent="0.5">
      <c r="A48">
        <v>0.6</v>
      </c>
      <c r="B48">
        <v>0.594974</v>
      </c>
      <c r="C48">
        <v>0</v>
      </c>
      <c r="E48">
        <f>F48/1000</f>
        <v>5.9999999999999995E-4</v>
      </c>
      <c r="F48">
        <v>0.6</v>
      </c>
      <c r="G48">
        <v>0</v>
      </c>
      <c r="H48" s="2">
        <f>G48/100</f>
        <v>0</v>
      </c>
    </row>
    <row r="49" spans="1:10" x14ac:dyDescent="0.5">
      <c r="A49">
        <v>0.85</v>
      </c>
      <c r="B49">
        <v>0.838028</v>
      </c>
      <c r="C49">
        <v>0.88495599999999996</v>
      </c>
      <c r="E49" s="1">
        <f t="shared" ref="E49:E54" si="9">F49/1000</f>
        <v>8.4999999999999995E-4</v>
      </c>
      <c r="F49" s="1">
        <v>0.85</v>
      </c>
      <c r="G49" s="1">
        <v>1</v>
      </c>
      <c r="H49" s="2">
        <f t="shared" ref="H49:H54" si="10">G49/100</f>
        <v>0.01</v>
      </c>
      <c r="I49" s="2">
        <f>H49</f>
        <v>0.01</v>
      </c>
      <c r="J49">
        <v>0.01</v>
      </c>
    </row>
    <row r="50" spans="1:10" x14ac:dyDescent="0.5">
      <c r="A50">
        <v>1.2</v>
      </c>
      <c r="B50">
        <v>1.19004</v>
      </c>
      <c r="C50">
        <v>1.9174</v>
      </c>
      <c r="E50" s="1">
        <f t="shared" si="9"/>
        <v>1.1999999999999999E-3</v>
      </c>
      <c r="F50" s="1">
        <v>1.2</v>
      </c>
      <c r="G50" s="1">
        <v>2</v>
      </c>
      <c r="H50" s="2">
        <f t="shared" si="10"/>
        <v>0.02</v>
      </c>
      <c r="I50" s="9">
        <f>H50-H49</f>
        <v>0.01</v>
      </c>
      <c r="J50">
        <v>0.01</v>
      </c>
    </row>
    <row r="51" spans="1:10" x14ac:dyDescent="0.5">
      <c r="A51">
        <v>1.7</v>
      </c>
      <c r="B51">
        <v>1.68991</v>
      </c>
      <c r="C51">
        <v>5.0147500000000003</v>
      </c>
      <c r="E51" s="1">
        <f t="shared" si="9"/>
        <v>1.6999999999999999E-3</v>
      </c>
      <c r="F51" s="1">
        <v>1.7</v>
      </c>
      <c r="G51" s="1">
        <v>5</v>
      </c>
      <c r="H51" s="2">
        <f t="shared" si="10"/>
        <v>0.05</v>
      </c>
      <c r="I51" s="9">
        <f t="shared" ref="I51:I54" si="11">H51-H50</f>
        <v>3.0000000000000002E-2</v>
      </c>
      <c r="J51" s="7">
        <v>3.0000000000000002E-2</v>
      </c>
    </row>
    <row r="52" spans="1:10" x14ac:dyDescent="0.5">
      <c r="A52">
        <v>2.4</v>
      </c>
      <c r="B52">
        <v>2.3802500000000002</v>
      </c>
      <c r="C52">
        <v>38.053100000000001</v>
      </c>
      <c r="E52" s="1">
        <f t="shared" si="9"/>
        <v>2.3999999999999998E-3</v>
      </c>
      <c r="F52" s="1">
        <v>2.4</v>
      </c>
      <c r="G52" s="1">
        <v>38</v>
      </c>
      <c r="H52" s="2">
        <f t="shared" si="10"/>
        <v>0.38</v>
      </c>
      <c r="I52" s="9">
        <f t="shared" si="11"/>
        <v>0.33</v>
      </c>
      <c r="J52" s="7">
        <v>0.33</v>
      </c>
    </row>
    <row r="53" spans="1:10" x14ac:dyDescent="0.5">
      <c r="A53">
        <v>3.4</v>
      </c>
      <c r="B53">
        <v>3.3800699999999999</v>
      </c>
      <c r="C53">
        <v>97.935100000000006</v>
      </c>
      <c r="E53" s="1">
        <f t="shared" si="9"/>
        <v>3.3999999999999998E-3</v>
      </c>
      <c r="F53" s="1">
        <v>3.4</v>
      </c>
      <c r="G53" s="1">
        <v>98</v>
      </c>
      <c r="H53" s="2">
        <f t="shared" si="10"/>
        <v>0.98</v>
      </c>
      <c r="I53" s="9">
        <f t="shared" si="11"/>
        <v>0.6</v>
      </c>
      <c r="J53" s="7">
        <v>0.6</v>
      </c>
    </row>
    <row r="54" spans="1:10" x14ac:dyDescent="0.5">
      <c r="A54">
        <v>4.7</v>
      </c>
      <c r="B54">
        <v>4.7222</v>
      </c>
      <c r="C54">
        <v>100</v>
      </c>
      <c r="E54" s="1">
        <f t="shared" si="9"/>
        <v>4.7000000000000002E-3</v>
      </c>
      <c r="F54" s="1">
        <v>4.7</v>
      </c>
      <c r="G54" s="1">
        <v>100</v>
      </c>
      <c r="H54" s="2">
        <f t="shared" si="10"/>
        <v>1</v>
      </c>
      <c r="I54" s="9">
        <f t="shared" si="11"/>
        <v>2.0000000000000018E-2</v>
      </c>
      <c r="J54" s="7">
        <v>2.0000000000000018E-2</v>
      </c>
    </row>
    <row r="55" spans="1:10" x14ac:dyDescent="0.5">
      <c r="H55" s="2"/>
      <c r="I55" s="3"/>
      <c r="J55" s="7"/>
    </row>
    <row r="60" spans="1:10" x14ac:dyDescent="0.5">
      <c r="I60" s="3">
        <f>SUM(I66:I75)</f>
        <v>1</v>
      </c>
      <c r="J60">
        <f>SUM(J66:J75)</f>
        <v>1</v>
      </c>
    </row>
    <row r="61" spans="1:10" x14ac:dyDescent="0.5">
      <c r="B61" t="s">
        <v>8</v>
      </c>
      <c r="F61" t="s">
        <v>18</v>
      </c>
    </row>
    <row r="62" spans="1:10" x14ac:dyDescent="0.5">
      <c r="B62" t="s">
        <v>0</v>
      </c>
      <c r="C62" t="s">
        <v>2</v>
      </c>
      <c r="E62" t="s">
        <v>1</v>
      </c>
      <c r="F62" t="s">
        <v>0</v>
      </c>
      <c r="G62" t="s">
        <v>2</v>
      </c>
      <c r="H62" t="s">
        <v>3</v>
      </c>
    </row>
    <row r="63" spans="1:10" x14ac:dyDescent="0.5">
      <c r="A63">
        <v>7.3999999999999996E-2</v>
      </c>
      <c r="B63">
        <v>7.37511E-2</v>
      </c>
      <c r="C63">
        <v>0</v>
      </c>
      <c r="E63">
        <f>F63/1000</f>
        <v>7.3999999999999996E-5</v>
      </c>
      <c r="F63">
        <v>7.3999999999999996E-2</v>
      </c>
      <c r="G63">
        <v>0</v>
      </c>
      <c r="H63" s="2">
        <f>G63/100</f>
        <v>0</v>
      </c>
    </row>
    <row r="64" spans="1:10" x14ac:dyDescent="0.5">
      <c r="A64">
        <v>0.1</v>
      </c>
      <c r="B64">
        <v>0.10473</v>
      </c>
      <c r="C64">
        <v>5.1622399999999997</v>
      </c>
      <c r="E64">
        <f t="shared" ref="E64:E75" si="12">F64/1000</f>
        <v>1E-4</v>
      </c>
      <c r="F64">
        <v>0.1</v>
      </c>
      <c r="G64">
        <v>5</v>
      </c>
      <c r="H64" s="2">
        <f t="shared" ref="H64:H75" si="13">G64/100</f>
        <v>0.05</v>
      </c>
    </row>
    <row r="65" spans="1:10" x14ac:dyDescent="0.5">
      <c r="A65">
        <v>0.15</v>
      </c>
      <c r="B65">
        <v>0.14872099999999999</v>
      </c>
      <c r="C65">
        <v>23.008800000000001</v>
      </c>
      <c r="E65">
        <f t="shared" si="12"/>
        <v>1.4999999999999999E-4</v>
      </c>
      <c r="F65">
        <v>0.15</v>
      </c>
      <c r="G65">
        <v>23</v>
      </c>
      <c r="H65" s="2">
        <f t="shared" si="13"/>
        <v>0.23</v>
      </c>
    </row>
    <row r="66" spans="1:10" x14ac:dyDescent="0.5">
      <c r="A66">
        <v>0.2</v>
      </c>
      <c r="B66">
        <v>0.209476</v>
      </c>
      <c r="C66">
        <v>57.817100000000003</v>
      </c>
      <c r="E66">
        <f t="shared" si="12"/>
        <v>2.0000000000000001E-4</v>
      </c>
      <c r="F66" s="10">
        <v>0.2</v>
      </c>
      <c r="G66" s="10">
        <v>58</v>
      </c>
      <c r="H66" s="2">
        <f t="shared" si="13"/>
        <v>0.57999999999999996</v>
      </c>
      <c r="I66" s="2">
        <f>H66</f>
        <v>0.57999999999999996</v>
      </c>
      <c r="J66" s="7">
        <v>0.57999999999999996</v>
      </c>
    </row>
    <row r="67" spans="1:10" x14ac:dyDescent="0.5">
      <c r="A67">
        <v>0.3</v>
      </c>
      <c r="B67">
        <v>0.29746499999999998</v>
      </c>
      <c r="C67">
        <v>81.563400000000001</v>
      </c>
      <c r="E67">
        <f t="shared" si="12"/>
        <v>2.9999999999999997E-4</v>
      </c>
      <c r="F67" s="10">
        <v>0.3</v>
      </c>
      <c r="G67" s="10">
        <v>81.5</v>
      </c>
      <c r="H67" s="2">
        <f t="shared" si="13"/>
        <v>0.81499999999999995</v>
      </c>
      <c r="I67" s="3">
        <f>H67-H66</f>
        <v>0.23499999999999999</v>
      </c>
      <c r="J67" s="7">
        <v>0.23499999999999999</v>
      </c>
    </row>
    <row r="68" spans="1:10" x14ac:dyDescent="0.5">
      <c r="A68">
        <v>0.4</v>
      </c>
      <c r="B68">
        <v>0.41898299999999999</v>
      </c>
      <c r="C68">
        <v>84.218299999999999</v>
      </c>
      <c r="E68">
        <f t="shared" si="12"/>
        <v>4.0000000000000002E-4</v>
      </c>
      <c r="F68" s="10">
        <v>0.4</v>
      </c>
      <c r="G68" s="10">
        <v>84.2</v>
      </c>
      <c r="H68" s="2">
        <f t="shared" si="13"/>
        <v>0.84200000000000008</v>
      </c>
      <c r="I68" s="3">
        <f t="shared" ref="I68:I75" si="14">H68-H67</f>
        <v>2.7000000000000135E-2</v>
      </c>
      <c r="J68" s="7">
        <v>2.7000000000000135E-2</v>
      </c>
    </row>
    <row r="69" spans="1:10" x14ac:dyDescent="0.5">
      <c r="A69">
        <v>0.6</v>
      </c>
      <c r="B69">
        <v>0.594974</v>
      </c>
      <c r="C69">
        <v>84.955799999999996</v>
      </c>
      <c r="E69">
        <f t="shared" si="12"/>
        <v>5.9999999999999995E-4</v>
      </c>
      <c r="F69" s="10">
        <v>0.6</v>
      </c>
      <c r="G69" s="10">
        <v>85</v>
      </c>
      <c r="H69" s="2">
        <f t="shared" si="13"/>
        <v>0.85</v>
      </c>
      <c r="I69" s="3">
        <f t="shared" si="14"/>
        <v>7.9999999999998961E-3</v>
      </c>
      <c r="J69" s="7">
        <v>7.9999999999998961E-3</v>
      </c>
    </row>
    <row r="70" spans="1:10" x14ac:dyDescent="0.5">
      <c r="A70">
        <v>0.85</v>
      </c>
      <c r="B70">
        <v>0.84489099999999995</v>
      </c>
      <c r="C70">
        <v>85.103200000000001</v>
      </c>
      <c r="E70">
        <f t="shared" si="12"/>
        <v>8.4999999999999995E-4</v>
      </c>
      <c r="F70" s="10">
        <v>0.85</v>
      </c>
      <c r="G70" s="10">
        <v>85.1</v>
      </c>
      <c r="H70" s="2">
        <f t="shared" si="13"/>
        <v>0.85099999999999998</v>
      </c>
      <c r="I70" s="3">
        <f t="shared" si="14"/>
        <v>1.0000000000000009E-3</v>
      </c>
      <c r="J70" s="7">
        <v>1.0000000000000009E-3</v>
      </c>
    </row>
    <row r="71" spans="1:10" x14ac:dyDescent="0.5">
      <c r="A71">
        <v>1.2</v>
      </c>
      <c r="B71">
        <v>1.19004</v>
      </c>
      <c r="C71">
        <v>85.250699999999995</v>
      </c>
      <c r="E71">
        <f t="shared" si="12"/>
        <v>1.1999999999999999E-3</v>
      </c>
      <c r="F71" s="10">
        <v>1.2</v>
      </c>
      <c r="G71" s="10">
        <v>85.25</v>
      </c>
      <c r="H71" s="2">
        <f t="shared" si="13"/>
        <v>0.85250000000000004</v>
      </c>
      <c r="I71" s="3">
        <f t="shared" si="14"/>
        <v>1.5000000000000568E-3</v>
      </c>
      <c r="J71">
        <v>1.5000000000000568E-3</v>
      </c>
    </row>
    <row r="72" spans="1:10" x14ac:dyDescent="0.5">
      <c r="A72">
        <v>1.7</v>
      </c>
      <c r="B72">
        <v>1.67618</v>
      </c>
      <c r="C72">
        <v>85.693200000000004</v>
      </c>
      <c r="E72">
        <f t="shared" si="12"/>
        <v>1.6999999999999999E-3</v>
      </c>
      <c r="F72" s="10">
        <v>1.7</v>
      </c>
      <c r="G72" s="10">
        <v>85.7</v>
      </c>
      <c r="H72" s="2">
        <f t="shared" si="13"/>
        <v>0.85699999999999998</v>
      </c>
      <c r="I72" s="3">
        <f t="shared" si="14"/>
        <v>4.4999999999999485E-3</v>
      </c>
      <c r="J72">
        <v>4.4999999999999485E-3</v>
      </c>
    </row>
    <row r="73" spans="1:10" x14ac:dyDescent="0.5">
      <c r="A73">
        <v>2.4</v>
      </c>
      <c r="B73">
        <v>2.3802500000000002</v>
      </c>
      <c r="C73">
        <v>90.707999999999998</v>
      </c>
      <c r="E73">
        <f t="shared" si="12"/>
        <v>2.3999999999999998E-3</v>
      </c>
      <c r="F73" s="10">
        <v>2.4</v>
      </c>
      <c r="G73" s="10">
        <v>91</v>
      </c>
      <c r="H73" s="2">
        <f t="shared" si="13"/>
        <v>0.91</v>
      </c>
      <c r="I73" s="3">
        <f t="shared" si="14"/>
        <v>5.3000000000000047E-2</v>
      </c>
      <c r="J73">
        <v>5.3000000000000047E-2</v>
      </c>
    </row>
    <row r="74" spans="1:10" x14ac:dyDescent="0.5">
      <c r="A74">
        <v>3.4</v>
      </c>
      <c r="B74">
        <v>3.3800699999999999</v>
      </c>
      <c r="C74">
        <v>99.557500000000005</v>
      </c>
      <c r="E74">
        <f t="shared" si="12"/>
        <v>3.3999999999999998E-3</v>
      </c>
      <c r="F74" s="10">
        <v>3.4</v>
      </c>
      <c r="G74" s="10">
        <v>99.5</v>
      </c>
      <c r="H74" s="2">
        <f t="shared" si="13"/>
        <v>0.995</v>
      </c>
      <c r="I74" s="3">
        <f t="shared" si="14"/>
        <v>8.4999999999999964E-2</v>
      </c>
      <c r="J74">
        <v>8.4999999999999964E-2</v>
      </c>
    </row>
    <row r="75" spans="1:10" x14ac:dyDescent="0.5">
      <c r="A75">
        <v>4.7</v>
      </c>
      <c r="B75">
        <v>4.7222</v>
      </c>
      <c r="C75">
        <v>100</v>
      </c>
      <c r="E75">
        <f t="shared" si="12"/>
        <v>4.7000000000000002E-3</v>
      </c>
      <c r="F75" s="10">
        <v>4.7</v>
      </c>
      <c r="G75" s="10">
        <v>100</v>
      </c>
      <c r="H75" s="2">
        <f t="shared" si="13"/>
        <v>1</v>
      </c>
      <c r="I75" s="3">
        <f t="shared" si="14"/>
        <v>5.0000000000000044E-3</v>
      </c>
      <c r="J75">
        <v>5.0000000000000044E-3</v>
      </c>
    </row>
    <row r="82" spans="1:10" x14ac:dyDescent="0.5">
      <c r="I82" s="3">
        <f>SUM(I88:I97)</f>
        <v>1</v>
      </c>
      <c r="J82">
        <f>SUM(J88:J97)</f>
        <v>1</v>
      </c>
    </row>
    <row r="83" spans="1:10" x14ac:dyDescent="0.5">
      <c r="B83" t="s">
        <v>9</v>
      </c>
      <c r="F83" t="s">
        <v>19</v>
      </c>
    </row>
    <row r="84" spans="1:10" x14ac:dyDescent="0.5">
      <c r="B84" t="s">
        <v>0</v>
      </c>
      <c r="C84" t="s">
        <v>2</v>
      </c>
      <c r="E84" t="s">
        <v>1</v>
      </c>
      <c r="F84" t="s">
        <v>0</v>
      </c>
      <c r="G84" t="s">
        <v>2</v>
      </c>
      <c r="H84" t="s">
        <v>3</v>
      </c>
    </row>
    <row r="85" spans="1:10" x14ac:dyDescent="0.5">
      <c r="A85">
        <v>7.3999999999999996E-2</v>
      </c>
      <c r="B85">
        <v>7.37511E-2</v>
      </c>
      <c r="C85">
        <v>0</v>
      </c>
      <c r="E85">
        <f>F85/1000</f>
        <v>7.3999999999999996E-5</v>
      </c>
      <c r="F85">
        <v>7.3999999999999996E-2</v>
      </c>
      <c r="G85">
        <v>0</v>
      </c>
      <c r="H85" s="2">
        <f>G85/100</f>
        <v>0</v>
      </c>
    </row>
    <row r="86" spans="1:10" x14ac:dyDescent="0.5">
      <c r="A86">
        <v>0.1</v>
      </c>
      <c r="B86">
        <v>0.105588</v>
      </c>
      <c r="C86">
        <v>3.9823</v>
      </c>
      <c r="E86">
        <f t="shared" ref="E86:E97" si="15">F86/1000</f>
        <v>1E-4</v>
      </c>
      <c r="F86">
        <v>0.1</v>
      </c>
      <c r="G86">
        <v>4</v>
      </c>
      <c r="H86" s="2">
        <f t="shared" ref="H86:H97" si="16">G86/100</f>
        <v>0.04</v>
      </c>
    </row>
    <row r="87" spans="1:10" x14ac:dyDescent="0.5">
      <c r="A87">
        <v>0.15</v>
      </c>
      <c r="B87">
        <v>0.14872099999999999</v>
      </c>
      <c r="C87">
        <v>16.076699999999999</v>
      </c>
      <c r="E87">
        <f t="shared" si="15"/>
        <v>1.4999999999999999E-4</v>
      </c>
      <c r="F87">
        <v>0.15</v>
      </c>
      <c r="G87">
        <v>16</v>
      </c>
      <c r="H87" s="2">
        <f t="shared" si="16"/>
        <v>0.16</v>
      </c>
    </row>
    <row r="88" spans="1:10" x14ac:dyDescent="0.5">
      <c r="A88">
        <v>0.2</v>
      </c>
      <c r="B88">
        <v>0.209476</v>
      </c>
      <c r="C88">
        <v>40.855499999999999</v>
      </c>
      <c r="E88">
        <f t="shared" si="15"/>
        <v>2.0000000000000001E-4</v>
      </c>
      <c r="F88" s="10">
        <v>0.2</v>
      </c>
      <c r="G88" s="10">
        <v>41</v>
      </c>
      <c r="H88" s="2">
        <f t="shared" si="16"/>
        <v>0.41</v>
      </c>
      <c r="I88" s="2">
        <f>H88</f>
        <v>0.41</v>
      </c>
      <c r="J88" s="7">
        <v>0.41</v>
      </c>
    </row>
    <row r="89" spans="1:10" x14ac:dyDescent="0.5">
      <c r="A89">
        <v>0.3</v>
      </c>
      <c r="B89">
        <v>0.29746499999999998</v>
      </c>
      <c r="C89">
        <v>57.522100000000002</v>
      </c>
      <c r="E89">
        <f t="shared" si="15"/>
        <v>2.9999999999999997E-4</v>
      </c>
      <c r="F89" s="10">
        <v>0.3</v>
      </c>
      <c r="G89" s="10">
        <v>58</v>
      </c>
      <c r="H89" s="2">
        <f t="shared" si="16"/>
        <v>0.57999999999999996</v>
      </c>
      <c r="I89" s="3">
        <f>H89-H88</f>
        <v>0.16999999999999998</v>
      </c>
      <c r="J89" s="7">
        <v>0.16999999999999998</v>
      </c>
    </row>
    <row r="90" spans="1:10" x14ac:dyDescent="0.5">
      <c r="A90">
        <v>0.4</v>
      </c>
      <c r="B90">
        <v>0.41898299999999999</v>
      </c>
      <c r="C90">
        <v>59.439500000000002</v>
      </c>
      <c r="E90">
        <f t="shared" si="15"/>
        <v>4.0000000000000002E-4</v>
      </c>
      <c r="F90" s="10">
        <v>0.4</v>
      </c>
      <c r="G90" s="10">
        <v>59.5</v>
      </c>
      <c r="H90" s="2">
        <f t="shared" si="16"/>
        <v>0.59499999999999997</v>
      </c>
      <c r="I90" s="3">
        <f t="shared" ref="I90:I97" si="17">H90-H89</f>
        <v>1.5000000000000013E-2</v>
      </c>
      <c r="J90" s="7">
        <v>1.5000000000000013E-2</v>
      </c>
    </row>
    <row r="91" spans="1:10" x14ac:dyDescent="0.5">
      <c r="A91">
        <v>0.6</v>
      </c>
      <c r="B91">
        <v>0.594974</v>
      </c>
      <c r="C91">
        <v>60.029499999999999</v>
      </c>
      <c r="E91">
        <f t="shared" si="15"/>
        <v>5.9999999999999995E-4</v>
      </c>
      <c r="F91" s="10">
        <v>0.6</v>
      </c>
      <c r="G91" s="10">
        <v>60</v>
      </c>
      <c r="H91" s="2">
        <f t="shared" si="16"/>
        <v>0.6</v>
      </c>
      <c r="I91" s="3">
        <f t="shared" si="17"/>
        <v>5.0000000000000044E-3</v>
      </c>
      <c r="J91" s="7">
        <v>5.0000000000000044E-3</v>
      </c>
    </row>
    <row r="92" spans="1:10" x14ac:dyDescent="0.5">
      <c r="A92">
        <v>0.85</v>
      </c>
      <c r="B92">
        <v>0.838028</v>
      </c>
      <c r="C92">
        <v>60.472000000000001</v>
      </c>
      <c r="E92">
        <f t="shared" si="15"/>
        <v>8.4999999999999995E-4</v>
      </c>
      <c r="F92" s="10">
        <v>0.85</v>
      </c>
      <c r="G92" s="10">
        <v>60.5</v>
      </c>
      <c r="H92" s="2">
        <f t="shared" si="16"/>
        <v>0.60499999999999998</v>
      </c>
      <c r="I92" s="3">
        <f t="shared" si="17"/>
        <v>5.0000000000000044E-3</v>
      </c>
      <c r="J92" s="7">
        <v>5.0000000000000044E-3</v>
      </c>
    </row>
    <row r="93" spans="1:10" x14ac:dyDescent="0.5">
      <c r="A93">
        <v>1.2</v>
      </c>
      <c r="B93">
        <v>1.19004</v>
      </c>
      <c r="C93">
        <v>60.914499999999997</v>
      </c>
      <c r="E93">
        <f t="shared" si="15"/>
        <v>1.1999999999999999E-3</v>
      </c>
      <c r="F93" s="10">
        <v>1.2</v>
      </c>
      <c r="G93" s="10">
        <v>61</v>
      </c>
      <c r="H93" s="2">
        <f t="shared" si="16"/>
        <v>0.61</v>
      </c>
      <c r="I93" s="3">
        <f t="shared" si="17"/>
        <v>5.0000000000000044E-3</v>
      </c>
      <c r="J93">
        <v>5.0000000000000044E-3</v>
      </c>
    </row>
    <row r="94" spans="1:10" x14ac:dyDescent="0.5">
      <c r="A94">
        <v>1.7</v>
      </c>
      <c r="B94">
        <v>1.67618</v>
      </c>
      <c r="C94">
        <v>61.946899999999999</v>
      </c>
      <c r="E94">
        <f t="shared" si="15"/>
        <v>1.6999999999999999E-3</v>
      </c>
      <c r="F94" s="10">
        <v>1.7</v>
      </c>
      <c r="G94" s="10">
        <v>62</v>
      </c>
      <c r="H94" s="2">
        <f t="shared" si="16"/>
        <v>0.62</v>
      </c>
      <c r="I94" s="3">
        <f t="shared" si="17"/>
        <v>1.0000000000000009E-2</v>
      </c>
      <c r="J94">
        <v>1.0000000000000009E-2</v>
      </c>
    </row>
    <row r="95" spans="1:10" x14ac:dyDescent="0.5">
      <c r="A95">
        <v>2.4</v>
      </c>
      <c r="B95">
        <v>2.3802500000000002</v>
      </c>
      <c r="C95">
        <v>75.221199999999996</v>
      </c>
      <c r="E95">
        <f t="shared" si="15"/>
        <v>2.3999999999999998E-3</v>
      </c>
      <c r="F95" s="10">
        <v>2.4</v>
      </c>
      <c r="G95" s="10">
        <v>75</v>
      </c>
      <c r="H95" s="2">
        <f t="shared" si="16"/>
        <v>0.75</v>
      </c>
      <c r="I95" s="3">
        <f t="shared" si="17"/>
        <v>0.13</v>
      </c>
      <c r="J95">
        <v>0.13</v>
      </c>
    </row>
    <row r="96" spans="1:10" x14ac:dyDescent="0.5">
      <c r="A96">
        <v>3.4</v>
      </c>
      <c r="B96">
        <v>3.3800699999999999</v>
      </c>
      <c r="C96">
        <v>99.114999999999995</v>
      </c>
      <c r="E96">
        <f t="shared" si="15"/>
        <v>3.3999999999999998E-3</v>
      </c>
      <c r="F96" s="10">
        <v>3.4</v>
      </c>
      <c r="G96" s="10">
        <v>99</v>
      </c>
      <c r="H96" s="2">
        <f t="shared" si="16"/>
        <v>0.99</v>
      </c>
      <c r="I96" s="3">
        <f t="shared" si="17"/>
        <v>0.24</v>
      </c>
      <c r="J96">
        <v>0.24</v>
      </c>
    </row>
    <row r="97" spans="1:10" x14ac:dyDescent="0.5">
      <c r="A97">
        <v>4.7</v>
      </c>
      <c r="B97">
        <v>4.60806</v>
      </c>
      <c r="C97">
        <v>100</v>
      </c>
      <c r="E97">
        <f t="shared" si="15"/>
        <v>4.7000000000000002E-3</v>
      </c>
      <c r="F97" s="10">
        <v>4.7</v>
      </c>
      <c r="G97" s="10">
        <v>100</v>
      </c>
      <c r="H97" s="2">
        <f t="shared" si="16"/>
        <v>1</v>
      </c>
      <c r="I97" s="3">
        <f t="shared" si="17"/>
        <v>1.0000000000000009E-2</v>
      </c>
      <c r="J97">
        <v>1.0000000000000009E-2</v>
      </c>
    </row>
    <row r="102" spans="1:10" x14ac:dyDescent="0.5">
      <c r="I102" s="3">
        <f>SUM(I106:I112)</f>
        <v>1</v>
      </c>
      <c r="J102">
        <f>SUM(J106:J112)</f>
        <v>1</v>
      </c>
    </row>
    <row r="103" spans="1:10" x14ac:dyDescent="0.5">
      <c r="B103" t="s">
        <v>10</v>
      </c>
      <c r="F103" t="s">
        <v>20</v>
      </c>
    </row>
    <row r="104" spans="1:10" x14ac:dyDescent="0.5">
      <c r="B104" t="s">
        <v>0</v>
      </c>
      <c r="C104" t="s">
        <v>2</v>
      </c>
      <c r="E104" t="s">
        <v>1</v>
      </c>
      <c r="F104" t="s">
        <v>0</v>
      </c>
      <c r="G104" t="s">
        <v>2</v>
      </c>
      <c r="H104" t="s">
        <v>3</v>
      </c>
    </row>
    <row r="105" spans="1:10" x14ac:dyDescent="0.5">
      <c r="A105">
        <v>7.3999999999999996E-2</v>
      </c>
      <c r="B105">
        <v>7.37511E-2</v>
      </c>
      <c r="C105">
        <v>0</v>
      </c>
      <c r="E105">
        <f>F105/1000</f>
        <v>7.3999999999999996E-5</v>
      </c>
      <c r="F105">
        <v>7.3999999999999996E-2</v>
      </c>
      <c r="G105">
        <v>0</v>
      </c>
      <c r="H105" s="2">
        <f>G105/100</f>
        <v>0</v>
      </c>
    </row>
    <row r="106" spans="1:10" x14ac:dyDescent="0.5">
      <c r="A106">
        <v>0.1</v>
      </c>
      <c r="B106">
        <v>0.103879</v>
      </c>
      <c r="C106">
        <v>2.9498500000000001</v>
      </c>
      <c r="E106">
        <f t="shared" ref="E106:E112" si="18">F106/1000</f>
        <v>1E-4</v>
      </c>
      <c r="F106">
        <v>0.1</v>
      </c>
      <c r="G106">
        <v>3</v>
      </c>
      <c r="H106" s="2">
        <f t="shared" ref="H106:H112" si="19">G106/100</f>
        <v>0.03</v>
      </c>
      <c r="I106" s="2">
        <f>H106</f>
        <v>0.03</v>
      </c>
      <c r="J106">
        <v>0.03</v>
      </c>
    </row>
    <row r="107" spans="1:10" x14ac:dyDescent="0.5">
      <c r="A107">
        <v>0.15</v>
      </c>
      <c r="B107">
        <v>0.14751300000000001</v>
      </c>
      <c r="C107">
        <v>13.421799999999999</v>
      </c>
      <c r="E107">
        <f t="shared" si="18"/>
        <v>1.4999999999999999E-4</v>
      </c>
      <c r="F107">
        <v>0.15</v>
      </c>
      <c r="G107">
        <v>13.5</v>
      </c>
      <c r="H107" s="2">
        <f t="shared" si="19"/>
        <v>0.13500000000000001</v>
      </c>
      <c r="I107" s="8">
        <f>H107-H106</f>
        <v>0.10500000000000001</v>
      </c>
      <c r="J107">
        <v>0.10500000000000001</v>
      </c>
    </row>
    <row r="108" spans="1:10" x14ac:dyDescent="0.5">
      <c r="A108">
        <v>0.2</v>
      </c>
      <c r="B108">
        <v>0.209476</v>
      </c>
      <c r="C108">
        <v>34.955800000000004</v>
      </c>
      <c r="E108">
        <f t="shared" si="18"/>
        <v>2.0000000000000001E-4</v>
      </c>
      <c r="F108">
        <v>0.2</v>
      </c>
      <c r="G108">
        <v>35</v>
      </c>
      <c r="H108" s="2">
        <f t="shared" si="19"/>
        <v>0.35</v>
      </c>
      <c r="I108" s="8">
        <f t="shared" ref="I108:I112" si="20">H108-H107</f>
        <v>0.21499999999999997</v>
      </c>
      <c r="J108" s="7">
        <v>0.21499999999999997</v>
      </c>
    </row>
    <row r="109" spans="1:10" x14ac:dyDescent="0.5">
      <c r="A109">
        <v>0.3</v>
      </c>
      <c r="B109">
        <v>0.29504900000000001</v>
      </c>
      <c r="C109">
        <v>52.507399999999997</v>
      </c>
      <c r="E109">
        <f t="shared" si="18"/>
        <v>2.9999999999999997E-4</v>
      </c>
      <c r="F109">
        <v>0.3</v>
      </c>
      <c r="G109">
        <v>52.5</v>
      </c>
      <c r="H109" s="2">
        <f t="shared" si="19"/>
        <v>0.52500000000000002</v>
      </c>
      <c r="I109" s="8">
        <f t="shared" si="20"/>
        <v>0.17500000000000004</v>
      </c>
      <c r="J109" s="7">
        <v>0.17500000000000004</v>
      </c>
    </row>
    <row r="110" spans="1:10" x14ac:dyDescent="0.5">
      <c r="A110">
        <v>0.4</v>
      </c>
      <c r="B110">
        <v>0.41557899999999998</v>
      </c>
      <c r="C110">
        <v>64.454300000000003</v>
      </c>
      <c r="E110">
        <f t="shared" si="18"/>
        <v>4.0000000000000002E-4</v>
      </c>
      <c r="F110">
        <v>0.4</v>
      </c>
      <c r="G110">
        <v>64.5</v>
      </c>
      <c r="H110" s="2">
        <f t="shared" si="19"/>
        <v>0.64500000000000002</v>
      </c>
      <c r="I110" s="8">
        <f t="shared" si="20"/>
        <v>0.12</v>
      </c>
      <c r="J110" s="7">
        <v>0.12</v>
      </c>
    </row>
    <row r="111" spans="1:10" x14ac:dyDescent="0.5">
      <c r="A111">
        <v>0.6</v>
      </c>
      <c r="B111">
        <v>0.59014200000000006</v>
      </c>
      <c r="C111">
        <v>85.545699999999997</v>
      </c>
      <c r="E111">
        <f t="shared" si="18"/>
        <v>5.9999999999999995E-4</v>
      </c>
      <c r="F111">
        <v>0.6</v>
      </c>
      <c r="G111">
        <v>85.5</v>
      </c>
      <c r="H111" s="2">
        <f t="shared" si="19"/>
        <v>0.85499999999999998</v>
      </c>
      <c r="I111" s="8">
        <f t="shared" si="20"/>
        <v>0.20999999999999996</v>
      </c>
      <c r="J111" s="7">
        <v>0.20999999999999996</v>
      </c>
    </row>
    <row r="112" spans="1:10" x14ac:dyDescent="0.5">
      <c r="A112">
        <v>0.85</v>
      </c>
      <c r="B112">
        <v>0.84489099999999995</v>
      </c>
      <c r="C112">
        <v>100</v>
      </c>
      <c r="E112">
        <f t="shared" si="18"/>
        <v>8.4999999999999995E-4</v>
      </c>
      <c r="F112">
        <v>0.85</v>
      </c>
      <c r="G112">
        <v>100</v>
      </c>
      <c r="H112" s="2">
        <f t="shared" si="19"/>
        <v>1</v>
      </c>
      <c r="I112" s="8">
        <f t="shared" si="20"/>
        <v>0.14500000000000002</v>
      </c>
      <c r="J112" s="7">
        <v>0.14500000000000002</v>
      </c>
    </row>
    <row r="118" spans="1:10" x14ac:dyDescent="0.5">
      <c r="I118" s="3">
        <f>SUM(I124:I131)</f>
        <v>1</v>
      </c>
      <c r="J118">
        <f>SUM(J124:J131)</f>
        <v>1</v>
      </c>
    </row>
    <row r="119" spans="1:10" x14ac:dyDescent="0.5">
      <c r="B119" t="s">
        <v>11</v>
      </c>
      <c r="F119" t="s">
        <v>22</v>
      </c>
    </row>
    <row r="120" spans="1:10" x14ac:dyDescent="0.5">
      <c r="B120" t="s">
        <v>0</v>
      </c>
      <c r="C120" t="s">
        <v>2</v>
      </c>
      <c r="E120" t="s">
        <v>1</v>
      </c>
      <c r="F120" t="s">
        <v>0</v>
      </c>
      <c r="G120" t="s">
        <v>2</v>
      </c>
      <c r="H120" t="s">
        <v>3</v>
      </c>
    </row>
    <row r="121" spans="1:10" x14ac:dyDescent="0.5">
      <c r="A121">
        <v>7.3999999999999996E-2</v>
      </c>
      <c r="B121">
        <v>7.37511E-2</v>
      </c>
      <c r="C121">
        <v>0</v>
      </c>
      <c r="E121">
        <f>F121/1000</f>
        <v>7.3999999999999996E-5</v>
      </c>
      <c r="F121">
        <v>7.3999999999999996E-2</v>
      </c>
      <c r="G121">
        <v>0</v>
      </c>
      <c r="H121" s="2">
        <f>G121/100</f>
        <v>0</v>
      </c>
    </row>
    <row r="122" spans="1:10" x14ac:dyDescent="0.5">
      <c r="A122">
        <v>0.1</v>
      </c>
      <c r="B122">
        <v>0.10473</v>
      </c>
      <c r="C122">
        <v>2.2123900000000001</v>
      </c>
      <c r="E122">
        <f t="shared" ref="E122:E131" si="21">F122/1000</f>
        <v>1E-4</v>
      </c>
      <c r="F122">
        <v>0.1</v>
      </c>
      <c r="G122">
        <v>2</v>
      </c>
      <c r="H122" s="2">
        <f t="shared" ref="H122:H131" si="22">G122/100</f>
        <v>0.02</v>
      </c>
    </row>
    <row r="123" spans="1:10" x14ac:dyDescent="0.5">
      <c r="A123">
        <v>0.15</v>
      </c>
      <c r="B123">
        <v>0.14993899999999999</v>
      </c>
      <c r="C123">
        <v>8.9970499999999998</v>
      </c>
      <c r="E123">
        <f t="shared" si="21"/>
        <v>1.4999999999999999E-4</v>
      </c>
      <c r="F123">
        <v>0.15</v>
      </c>
      <c r="G123">
        <v>9</v>
      </c>
      <c r="H123" s="2">
        <f t="shared" si="22"/>
        <v>0.09</v>
      </c>
    </row>
    <row r="124" spans="1:10" x14ac:dyDescent="0.5">
      <c r="A124">
        <v>0.2</v>
      </c>
      <c r="B124">
        <v>0.21119099999999999</v>
      </c>
      <c r="C124">
        <v>23.303799999999999</v>
      </c>
      <c r="E124">
        <f t="shared" si="21"/>
        <v>2.0000000000000001E-4</v>
      </c>
      <c r="F124" s="10">
        <v>0.2</v>
      </c>
      <c r="G124" s="10">
        <v>23</v>
      </c>
      <c r="H124" s="2">
        <f t="shared" si="22"/>
        <v>0.23</v>
      </c>
      <c r="I124" s="2">
        <f>H124</f>
        <v>0.23</v>
      </c>
      <c r="J124" s="7">
        <v>0.23</v>
      </c>
    </row>
    <row r="125" spans="1:10" x14ac:dyDescent="0.5">
      <c r="A125">
        <v>0.3</v>
      </c>
      <c r="B125">
        <v>0.29990099999999997</v>
      </c>
      <c r="C125">
        <v>34.955800000000004</v>
      </c>
      <c r="E125">
        <f t="shared" si="21"/>
        <v>2.9999999999999997E-4</v>
      </c>
      <c r="F125" s="10">
        <v>0.3</v>
      </c>
      <c r="G125" s="10">
        <v>35</v>
      </c>
      <c r="H125" s="2">
        <f t="shared" si="22"/>
        <v>0.35</v>
      </c>
      <c r="I125" s="3">
        <f>H125-H124</f>
        <v>0.11999999999999997</v>
      </c>
      <c r="J125" s="7">
        <v>0.11999999999999997</v>
      </c>
    </row>
    <row r="126" spans="1:10" x14ac:dyDescent="0.5">
      <c r="A126">
        <v>0.4</v>
      </c>
      <c r="B126">
        <v>0.41898299999999999</v>
      </c>
      <c r="C126">
        <v>42.920400000000001</v>
      </c>
      <c r="E126">
        <f t="shared" si="21"/>
        <v>4.0000000000000002E-4</v>
      </c>
      <c r="F126" s="10">
        <v>0.4</v>
      </c>
      <c r="G126" s="10">
        <v>43</v>
      </c>
      <c r="H126" s="2">
        <f t="shared" si="22"/>
        <v>0.43</v>
      </c>
      <c r="I126" s="3">
        <f t="shared" ref="I126:I131" si="23">H126-H125</f>
        <v>8.0000000000000016E-2</v>
      </c>
      <c r="J126" s="7">
        <v>8.0000000000000016E-2</v>
      </c>
    </row>
    <row r="127" spans="1:10" x14ac:dyDescent="0.5">
      <c r="A127">
        <v>0.6</v>
      </c>
      <c r="B127">
        <v>0.594974</v>
      </c>
      <c r="C127">
        <v>57.2271</v>
      </c>
      <c r="E127">
        <f t="shared" si="21"/>
        <v>5.9999999999999995E-4</v>
      </c>
      <c r="F127" s="10">
        <v>0.6</v>
      </c>
      <c r="G127" s="10">
        <v>57</v>
      </c>
      <c r="H127" s="2">
        <f t="shared" si="22"/>
        <v>0.56999999999999995</v>
      </c>
      <c r="I127" s="3">
        <f t="shared" si="23"/>
        <v>0.13999999999999996</v>
      </c>
      <c r="J127" s="7">
        <v>0.13999999999999996</v>
      </c>
    </row>
    <row r="128" spans="1:10" x14ac:dyDescent="0.5">
      <c r="A128">
        <v>0.85</v>
      </c>
      <c r="B128">
        <v>0.84489099999999995</v>
      </c>
      <c r="C128">
        <v>67.846599999999995</v>
      </c>
      <c r="E128">
        <f t="shared" si="21"/>
        <v>8.4999999999999995E-4</v>
      </c>
      <c r="F128" s="10">
        <v>0.85</v>
      </c>
      <c r="G128" s="10">
        <v>68</v>
      </c>
      <c r="H128" s="2">
        <f t="shared" si="22"/>
        <v>0.68</v>
      </c>
      <c r="I128" s="3">
        <f t="shared" si="23"/>
        <v>0.1100000000000001</v>
      </c>
      <c r="J128" s="7">
        <v>0.1100000000000001</v>
      </c>
    </row>
    <row r="129" spans="1:10" x14ac:dyDescent="0.5">
      <c r="A129">
        <v>1.2</v>
      </c>
      <c r="B129">
        <v>1.19004</v>
      </c>
      <c r="C129">
        <v>78.318600000000004</v>
      </c>
      <c r="E129">
        <f>F129/1000</f>
        <v>1.1999999999999999E-3</v>
      </c>
      <c r="F129" s="10">
        <v>1.2</v>
      </c>
      <c r="G129" s="10">
        <v>78</v>
      </c>
      <c r="H129" s="2">
        <f t="shared" si="22"/>
        <v>0.78</v>
      </c>
      <c r="I129" s="3">
        <f>H129-H128</f>
        <v>9.9999999999999978E-2</v>
      </c>
      <c r="J129">
        <v>9.9999999999999978E-2</v>
      </c>
    </row>
    <row r="130" spans="1:10" x14ac:dyDescent="0.5">
      <c r="A130">
        <v>1.7</v>
      </c>
      <c r="B130">
        <v>1.68991</v>
      </c>
      <c r="C130">
        <v>98.377600000000001</v>
      </c>
      <c r="E130">
        <f t="shared" si="21"/>
        <v>1.6999999999999999E-3</v>
      </c>
      <c r="F130" s="10">
        <v>1.7</v>
      </c>
      <c r="G130" s="10">
        <v>98</v>
      </c>
      <c r="H130" s="2">
        <f t="shared" si="22"/>
        <v>0.98</v>
      </c>
      <c r="I130" s="3">
        <f t="shared" si="23"/>
        <v>0.19999999999999996</v>
      </c>
      <c r="J130">
        <v>0.19999999999999996</v>
      </c>
    </row>
    <row r="131" spans="1:10" x14ac:dyDescent="0.5">
      <c r="A131">
        <v>2.4</v>
      </c>
      <c r="B131">
        <v>2.39975</v>
      </c>
      <c r="C131">
        <v>100</v>
      </c>
      <c r="E131">
        <f t="shared" si="21"/>
        <v>2.3999999999999998E-3</v>
      </c>
      <c r="F131" s="10">
        <v>2.4</v>
      </c>
      <c r="G131" s="10">
        <v>100</v>
      </c>
      <c r="H131" s="2">
        <f t="shared" si="22"/>
        <v>1</v>
      </c>
      <c r="I131" s="3">
        <f t="shared" si="23"/>
        <v>2.0000000000000018E-2</v>
      </c>
      <c r="J131">
        <v>2.0000000000000018E-2</v>
      </c>
    </row>
    <row r="136" spans="1:10" x14ac:dyDescent="0.5">
      <c r="I136" s="3">
        <f>SUM(I144:I151)</f>
        <v>0.73499999999999999</v>
      </c>
      <c r="J136">
        <f>SUM(J142:J151)</f>
        <v>1</v>
      </c>
    </row>
    <row r="137" spans="1:10" x14ac:dyDescent="0.5">
      <c r="B137" t="s">
        <v>12</v>
      </c>
      <c r="F137" t="s">
        <v>21</v>
      </c>
    </row>
    <row r="138" spans="1:10" x14ac:dyDescent="0.5">
      <c r="B138" t="s">
        <v>0</v>
      </c>
      <c r="C138" t="s">
        <v>2</v>
      </c>
      <c r="E138" t="s">
        <v>1</v>
      </c>
      <c r="F138" t="s">
        <v>0</v>
      </c>
      <c r="G138" t="s">
        <v>2</v>
      </c>
      <c r="H138" t="s">
        <v>3</v>
      </c>
    </row>
    <row r="139" spans="1:10" x14ac:dyDescent="0.5">
      <c r="A139">
        <v>7.3999999999999996E-2</v>
      </c>
      <c r="B139">
        <v>7.4355099999999993E-2</v>
      </c>
      <c r="C139">
        <v>0</v>
      </c>
      <c r="E139">
        <f>F139/1000</f>
        <v>7.3999999999999996E-5</v>
      </c>
      <c r="F139">
        <v>7.3999999999999996E-2</v>
      </c>
      <c r="G139">
        <v>0</v>
      </c>
      <c r="H139" s="2">
        <f>G139/100</f>
        <v>0</v>
      </c>
    </row>
    <row r="140" spans="1:10" x14ac:dyDescent="0.5">
      <c r="A140">
        <v>0.1</v>
      </c>
      <c r="B140">
        <v>0.10473</v>
      </c>
      <c r="C140">
        <v>1.62242</v>
      </c>
      <c r="E140">
        <f t="shared" ref="E140:E151" si="24">F140/1000</f>
        <v>1E-4</v>
      </c>
      <c r="F140">
        <v>0.1</v>
      </c>
      <c r="G140">
        <v>1.5</v>
      </c>
      <c r="H140" s="2">
        <f t="shared" ref="H140:H151" si="25">G140/100</f>
        <v>1.4999999999999999E-2</v>
      </c>
    </row>
    <row r="141" spans="1:10" x14ac:dyDescent="0.5">
      <c r="A141">
        <v>0.15</v>
      </c>
      <c r="B141">
        <v>0.14872099999999999</v>
      </c>
      <c r="C141">
        <v>6.93215</v>
      </c>
      <c r="E141">
        <f t="shared" si="24"/>
        <v>1.4999999999999999E-4</v>
      </c>
      <c r="F141">
        <v>0.15</v>
      </c>
      <c r="G141">
        <v>7</v>
      </c>
      <c r="H141" s="2">
        <f t="shared" si="25"/>
        <v>7.0000000000000007E-2</v>
      </c>
    </row>
    <row r="142" spans="1:10" x14ac:dyDescent="0.5">
      <c r="A142">
        <v>0.2</v>
      </c>
      <c r="B142">
        <v>0.21119099999999999</v>
      </c>
      <c r="C142">
        <v>17.551600000000001</v>
      </c>
      <c r="E142">
        <f t="shared" si="24"/>
        <v>2.0000000000000001E-4</v>
      </c>
      <c r="F142" s="10">
        <v>0.2</v>
      </c>
      <c r="G142" s="10">
        <v>17.5</v>
      </c>
      <c r="H142" s="2">
        <f t="shared" si="25"/>
        <v>0.17499999999999999</v>
      </c>
      <c r="I142" s="2">
        <f>H142</f>
        <v>0.17499999999999999</v>
      </c>
      <c r="J142" s="7">
        <v>0.17499999999999999</v>
      </c>
    </row>
    <row r="143" spans="1:10" x14ac:dyDescent="0.5">
      <c r="A143">
        <v>0.3</v>
      </c>
      <c r="B143">
        <v>0.29746499999999998</v>
      </c>
      <c r="C143">
        <v>26.401199999999999</v>
      </c>
      <c r="E143">
        <f t="shared" si="24"/>
        <v>2.9999999999999997E-4</v>
      </c>
      <c r="F143" s="10">
        <v>0.3</v>
      </c>
      <c r="G143" s="10">
        <v>26.5</v>
      </c>
      <c r="H143" s="2">
        <f t="shared" si="25"/>
        <v>0.26500000000000001</v>
      </c>
      <c r="I143" s="3">
        <f>H143-H142</f>
        <v>9.0000000000000024E-2</v>
      </c>
      <c r="J143" s="7">
        <v>9.0000000000000024E-2</v>
      </c>
    </row>
    <row r="144" spans="1:10" x14ac:dyDescent="0.5">
      <c r="A144">
        <v>0.4</v>
      </c>
      <c r="B144">
        <v>0.42241400000000001</v>
      </c>
      <c r="C144">
        <v>32.300899999999999</v>
      </c>
      <c r="E144">
        <f t="shared" si="24"/>
        <v>4.0000000000000002E-4</v>
      </c>
      <c r="F144" s="10">
        <v>0.4</v>
      </c>
      <c r="G144" s="10">
        <v>32</v>
      </c>
      <c r="H144" s="2">
        <f t="shared" si="25"/>
        <v>0.32</v>
      </c>
      <c r="I144" s="3">
        <f t="shared" ref="I144:I151" si="26">H144-H143</f>
        <v>5.4999999999999993E-2</v>
      </c>
      <c r="J144" s="7">
        <v>5.4999999999999993E-2</v>
      </c>
    </row>
    <row r="145" spans="1:10" x14ac:dyDescent="0.5">
      <c r="A145">
        <v>0.6</v>
      </c>
      <c r="B145">
        <v>0.594974</v>
      </c>
      <c r="C145">
        <v>43.067799999999998</v>
      </c>
      <c r="E145">
        <f t="shared" si="24"/>
        <v>5.9999999999999995E-4</v>
      </c>
      <c r="F145" s="10">
        <v>0.6</v>
      </c>
      <c r="G145" s="10">
        <v>43</v>
      </c>
      <c r="H145" s="2">
        <f t="shared" si="25"/>
        <v>0.43</v>
      </c>
      <c r="I145" s="3">
        <f t="shared" si="26"/>
        <v>0.10999999999999999</v>
      </c>
      <c r="J145" s="7">
        <v>0.10999999999999999</v>
      </c>
    </row>
    <row r="146" spans="1:10" x14ac:dyDescent="0.5">
      <c r="A146">
        <v>0.85</v>
      </c>
      <c r="B146">
        <v>0.84489099999999995</v>
      </c>
      <c r="C146">
        <v>51.327399999999997</v>
      </c>
      <c r="E146">
        <f t="shared" si="24"/>
        <v>8.4999999999999995E-4</v>
      </c>
      <c r="F146" s="10">
        <v>0.85</v>
      </c>
      <c r="G146" s="10">
        <v>51</v>
      </c>
      <c r="H146" s="2">
        <f t="shared" si="25"/>
        <v>0.51</v>
      </c>
      <c r="I146" s="3">
        <f>H146-H145</f>
        <v>8.0000000000000016E-2</v>
      </c>
      <c r="J146" s="7">
        <v>8.0000000000000016E-2</v>
      </c>
    </row>
    <row r="147" spans="1:10" x14ac:dyDescent="0.5">
      <c r="A147">
        <v>1.2</v>
      </c>
      <c r="B147">
        <v>1.19004</v>
      </c>
      <c r="C147">
        <v>59.292000000000002</v>
      </c>
      <c r="E147">
        <f>F147/1000</f>
        <v>1.1999999999999999E-3</v>
      </c>
      <c r="F147" s="10">
        <v>1.2</v>
      </c>
      <c r="G147" s="10">
        <v>59</v>
      </c>
      <c r="H147" s="2">
        <f t="shared" si="25"/>
        <v>0.59</v>
      </c>
      <c r="I147" s="3">
        <f t="shared" si="26"/>
        <v>7.999999999999996E-2</v>
      </c>
      <c r="J147">
        <v>7.999999999999996E-2</v>
      </c>
    </row>
    <row r="148" spans="1:10" x14ac:dyDescent="0.5">
      <c r="A148">
        <v>1.7</v>
      </c>
      <c r="B148">
        <v>1.68991</v>
      </c>
      <c r="C148">
        <v>75.073700000000002</v>
      </c>
      <c r="E148">
        <f t="shared" si="24"/>
        <v>1.6999999999999999E-3</v>
      </c>
      <c r="F148" s="10">
        <v>1.7</v>
      </c>
      <c r="G148" s="10">
        <v>75</v>
      </c>
      <c r="H148" s="2">
        <f t="shared" si="25"/>
        <v>0.75</v>
      </c>
      <c r="I148" s="3">
        <f t="shared" si="26"/>
        <v>0.16000000000000003</v>
      </c>
      <c r="J148">
        <v>0.16000000000000003</v>
      </c>
    </row>
    <row r="149" spans="1:10" x14ac:dyDescent="0.5">
      <c r="A149">
        <v>2.4</v>
      </c>
      <c r="B149">
        <v>2.3802500000000002</v>
      </c>
      <c r="C149">
        <v>84.513300000000001</v>
      </c>
      <c r="E149">
        <f t="shared" si="24"/>
        <v>2.3999999999999998E-3</v>
      </c>
      <c r="F149" s="10">
        <v>2.4</v>
      </c>
      <c r="G149" s="10">
        <v>85</v>
      </c>
      <c r="H149" s="2">
        <f t="shared" si="25"/>
        <v>0.85</v>
      </c>
      <c r="I149" s="3">
        <f>H149-H148</f>
        <v>9.9999999999999978E-2</v>
      </c>
      <c r="J149">
        <v>9.9999999999999978E-2</v>
      </c>
    </row>
    <row r="150" spans="1:10" x14ac:dyDescent="0.5">
      <c r="A150">
        <v>3.4</v>
      </c>
      <c r="B150">
        <v>3.3526199999999999</v>
      </c>
      <c r="C150">
        <v>99.557500000000005</v>
      </c>
      <c r="E150">
        <f t="shared" si="24"/>
        <v>3.3999999999999998E-3</v>
      </c>
      <c r="F150" s="10">
        <v>3.4</v>
      </c>
      <c r="G150" s="10">
        <v>99.5</v>
      </c>
      <c r="H150" s="2">
        <f t="shared" si="25"/>
        <v>0.995</v>
      </c>
      <c r="I150" s="3">
        <f t="shared" si="26"/>
        <v>0.14500000000000002</v>
      </c>
      <c r="J150">
        <v>0.14500000000000002</v>
      </c>
    </row>
    <row r="151" spans="1:10" x14ac:dyDescent="0.5">
      <c r="A151">
        <v>4.7</v>
      </c>
      <c r="B151">
        <v>4.7222</v>
      </c>
      <c r="C151">
        <v>100</v>
      </c>
      <c r="E151">
        <f t="shared" si="24"/>
        <v>4.7000000000000002E-3</v>
      </c>
      <c r="F151" s="10">
        <v>4.7</v>
      </c>
      <c r="G151" s="10">
        <v>100</v>
      </c>
      <c r="H151" s="2">
        <f t="shared" si="25"/>
        <v>1</v>
      </c>
      <c r="I151" s="3">
        <f t="shared" si="26"/>
        <v>5.0000000000000044E-3</v>
      </c>
      <c r="J151">
        <v>5.0000000000000044E-3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Zhangzhe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P50 Workstation</dc:creator>
  <cp:lastModifiedBy>Occc 888</cp:lastModifiedBy>
  <dcterms:created xsi:type="dcterms:W3CDTF">2015-06-05T18:19:34Z</dcterms:created>
  <dcterms:modified xsi:type="dcterms:W3CDTF">2025-01-22T13:34:03Z</dcterms:modified>
</cp:coreProperties>
</file>